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4"/>
    <sheet state="visible" name="Kørselsgodtgørelse okt 2023 " sheetId="2" r:id="rId5"/>
    <sheet state="visible" name="Kørselsgodtgørelse Nov 2023" sheetId="3" r:id="rId6"/>
    <sheet state="visible" name="Kørselsgodtgørelse Dec 2023" sheetId="4" r:id="rId7"/>
    <sheet state="visible" name="Kørselsgodtgørelse Jan 2024" sheetId="5" r:id="rId8"/>
    <sheet state="visible" name="Kørselsgodtgørelse Feb 2024" sheetId="6" r:id="rId9"/>
    <sheet state="visible" name="Kørselsgodtgørelse Marts 2024" sheetId="7" r:id="rId10"/>
    <sheet state="visible" name="Kørselsgodtgørelse April 2024" sheetId="8" r:id="rId11"/>
    <sheet state="visible" name="Kørselsgodtgørelse Maj 2024" sheetId="9" r:id="rId12"/>
    <sheet state="visible" name="Kørselsgodtgørelse Juni 2024" sheetId="10" r:id="rId13"/>
    <sheet state="visible" name="Kørselsgodtgørelse Juli 2024" sheetId="11" r:id="rId14"/>
    <sheet state="visible" name="Kørselsgodtgørelse Aug 2024" sheetId="12" r:id="rId15"/>
    <sheet state="visible" name="Kørselsgodtgørelse Sept 2024" sheetId="13" r:id="rId16"/>
    <sheet state="visible" name="Kørselsgodtgørelse Okt 2024" sheetId="14" r:id="rId17"/>
    <sheet state="visible" name="Kørselsgodtgørelse Nov 2024" sheetId="15" r:id="rId18"/>
    <sheet state="visible" name="Kørselsgodtgørelse Dec 2024" sheetId="16" r:id="rId19"/>
    <sheet state="visible" name="Kørselsgodtgørelse Jan 2025" sheetId="17" r:id="rId20"/>
    <sheet state="visible" name="Kørselsgodtgørelse Feb 2025" sheetId="18" r:id="rId21"/>
    <sheet state="visible" name="Kørselsgodtgørelse Mar 2025" sheetId="19" r:id="rId22"/>
    <sheet state="visible" name="Kørselsgodtgørelse Apr 2025" sheetId="20" r:id="rId23"/>
    <sheet state="visible" name="Kørselsgodtgørelse Maj 2025" sheetId="21" r:id="rId24"/>
    <sheet state="visible" name="Kørselsgodtgørelse Juni 2025" sheetId="22" r:id="rId25"/>
    <sheet state="visible" name="Kørselsgodtgørelse Juli 2025" sheetId="23" r:id="rId26"/>
    <sheet state="visible" name="Kørselsgodtgørelse August 2025" sheetId="24" r:id="rId27"/>
    <sheet state="visible" name="Kørselsgodtgørelse Sept 2025" sheetId="25" r:id="rId28"/>
    <sheet state="visible" name="Kørselsgodtgørelse Oct 2025" sheetId="26" r:id="rId29"/>
    <sheet state="visible" name="Kørselsgodtgørelse Nov 2025" sheetId="27" r:id="rId30"/>
    <sheet state="visible" name="Kørselsgodtgørelse Dec 2025" sheetId="28" r:id="rId31"/>
  </sheets>
  <definedNames/>
  <calcPr/>
  <extLst>
    <ext uri="GoogleSheetsCustomDataVersion2">
      <go:sheetsCustomData xmlns:go="http://customooxmlschemas.google.com/" r:id="rId32" roundtripDataChecksum="44kW06rozOQSlae259QCG6V5ItRW4iLymu8Y9MIVnVI="/>
    </ext>
  </extLst>
</workbook>
</file>

<file path=xl/sharedStrings.xml><?xml version="1.0" encoding="utf-8"?>
<sst xmlns="http://schemas.openxmlformats.org/spreadsheetml/2006/main" count="1866" uniqueCount="131">
  <si>
    <t>Total kørselsgodtgørelse</t>
  </si>
  <si>
    <t>marts til nov</t>
  </si>
  <si>
    <t>dec tom. januar</t>
  </si>
  <si>
    <t>Skabelon til kørselsgodtgørelse er fra Dinero Regnskabsprogram</t>
  </si>
  <si>
    <t>Periode</t>
  </si>
  <si>
    <t>Oktober</t>
  </si>
  <si>
    <t>Medarbejderens navn</t>
  </si>
  <si>
    <t>Sven Arnarsson</t>
  </si>
  <si>
    <t>Nummerplade</t>
  </si>
  <si>
    <t>DE 58647</t>
  </si>
  <si>
    <t>Medarbejderens CPR-nummer</t>
  </si>
  <si>
    <t>0411883183</t>
  </si>
  <si>
    <t>Samlet km</t>
  </si>
  <si>
    <t>Sats</t>
  </si>
  <si>
    <t>3,73 kr</t>
  </si>
  <si>
    <t>Total</t>
  </si>
  <si>
    <t>Kørselsregnskab</t>
  </si>
  <si>
    <t>Dato 
(skal altid udfyldes)</t>
  </si>
  <si>
    <t>Beskrivelse 
(udfyld ved erhverv)</t>
  </si>
  <si>
    <t>Formålet for kørsel
(sæt 1)</t>
  </si>
  <si>
    <t>Fra
(udfyld ved erhverv)</t>
  </si>
  <si>
    <t>Til
(udfyld ved erhverv)</t>
  </si>
  <si>
    <t>Kilometertæller</t>
  </si>
  <si>
    <t>Kilometer</t>
  </si>
  <si>
    <t>Erhverv</t>
  </si>
  <si>
    <t>Privat</t>
  </si>
  <si>
    <t>Vejnavn og nr.</t>
  </si>
  <si>
    <t>Postnummer</t>
  </si>
  <si>
    <t xml:space="preserve">Frem </t>
  </si>
  <si>
    <t>Tilbage</t>
  </si>
  <si>
    <t>elbiil.dk - Intro møde</t>
  </si>
  <si>
    <t>Platanvej 7</t>
  </si>
  <si>
    <t>Klausdalsbrovej 601</t>
  </si>
  <si>
    <t>Digital Wasabi - møde</t>
  </si>
  <si>
    <t>Islands Brygge 79b</t>
  </si>
  <si>
    <t>eCar Expo - messe</t>
  </si>
  <si>
    <t>Center Blvd. 5</t>
  </si>
  <si>
    <t>elbiil.dk - workshop møde</t>
  </si>
  <si>
    <t>(Erhvervsmæssigt) antal kørte kilometer før denne periode i indeværende år</t>
  </si>
  <si>
    <t>Dette skal indtastes jf. kørselsregnskab forrige måned i indeværende år</t>
  </si>
  <si>
    <t>(Erhvervsmæssigt) Antal kørte kilometer i denne måned</t>
  </si>
  <si>
    <t>Beregnes automatisk</t>
  </si>
  <si>
    <t>Sum antal kørte kilometer erhvervsmæssigt hele året (inkl. denne måned)</t>
  </si>
  <si>
    <t>Kørte kilometer i denne måned (hvor samlet sum af kørte kilometer i året er under 20.000)</t>
  </si>
  <si>
    <t>Kørte kilometer i denne måned (hvor samlet sum af kørte kilometer i året er over 20.000)</t>
  </si>
  <si>
    <t>Fradrag/
godtgørelse pr. km.</t>
  </si>
  <si>
    <t>(Kørsel til og med 20.000 km. I året, jf. Skattestyrelsens satser for befordringsgodtgørelse i 2021)</t>
  </si>
  <si>
    <t>(Kørsel udover 20.000 km. I året, jf. Skattestyrelsens sats for befordringsgodtgørelse i 2021)</t>
  </si>
  <si>
    <t>Kørselsfradrag/kørselsgodtgørelse i perioden:</t>
  </si>
  <si>
    <t>Godkendt af (underskrift eller stempel)</t>
  </si>
  <si>
    <t>Dato</t>
  </si>
  <si>
    <t>Nov</t>
  </si>
  <si>
    <t>elbiil.dk - arbejde kontor</t>
  </si>
  <si>
    <t>https://dinero.dk/support/kilometergodtgoerelse/</t>
  </si>
  <si>
    <t>16/01/24</t>
  </si>
  <si>
    <t>Møde med potentiel kunde</t>
  </si>
  <si>
    <t>Platanvej</t>
  </si>
  <si>
    <t>Fuglesangsvej 11</t>
  </si>
  <si>
    <t xml:space="preserve">Workshop for 2030 </t>
  </si>
  <si>
    <t>Platanvej 8</t>
  </si>
  <si>
    <t>Fuglevangsvej 11, 1962 Frederiksberg</t>
  </si>
  <si>
    <t>Klausdalsbrovej 602</t>
  </si>
  <si>
    <t xml:space="preserve"> </t>
  </si>
  <si>
    <t>CM73464</t>
  </si>
  <si>
    <t>FlexeCharge -Workshop</t>
  </si>
  <si>
    <t xml:space="preserve">Fruebjergvej 3
</t>
  </si>
  <si>
    <t>Første møde m. Waily</t>
  </si>
  <si>
    <t>Frederiksborggade 14</t>
  </si>
  <si>
    <t>Møde med potentiel kunde i Kolding</t>
  </si>
  <si>
    <t>Kolding, storcenter</t>
  </si>
  <si>
    <t>Green &amp; Clean - intro møde</t>
  </si>
  <si>
    <t>c/o Linus Johannes Bruun Knudsen, Oscar Pettifords Vej 15 3. th., 2450</t>
  </si>
  <si>
    <t>Framehouse første møde</t>
  </si>
  <si>
    <t>Framehouse, A. P. Møllers Allé 43B, 2791 Dragør</t>
  </si>
  <si>
    <t>Flexecharge kontor</t>
  </si>
  <si>
    <t>FLEXeCHARGE, Rahbeks Alle 21</t>
  </si>
  <si>
    <t>Kite Danmark</t>
  </si>
  <si>
    <t xml:space="preserve">Kanalholmen 1 1., 2650 Hvidovre, Danmark
</t>
  </si>
  <si>
    <t>FLEXeCHARGE, Rahbeks Alle 22</t>
  </si>
  <si>
    <t>FLEXeCHARGE, Rahbeks Alle 23</t>
  </si>
  <si>
    <t>FLEXeCHARGE, Rahbeks Alle 24</t>
  </si>
  <si>
    <t>FLEXeCHARGE, Rahbeks Alle 25</t>
  </si>
  <si>
    <t>FLEXeCHARGE, Rahbeks Alle 26</t>
  </si>
  <si>
    <t>FLEXeCHARGE, Rahbeks Alle 27</t>
  </si>
  <si>
    <t>FLEXeCHARGE, Rahbeks Alle 28</t>
  </si>
  <si>
    <t>d</t>
  </si>
  <si>
    <t>WARM kontor</t>
  </si>
  <si>
    <t>Birkedommervej 31</t>
  </si>
  <si>
    <t>møde med Bigum</t>
  </si>
  <si>
    <t xml:space="preserve">Bigum&amp;Co, Rued Langgaards Vej	</t>
  </si>
  <si>
    <t>Forretning i vejen</t>
  </si>
  <si>
    <t>Vejen Rådhusplads Cafe</t>
  </si>
  <si>
    <t>Bigum og Co</t>
  </si>
  <si>
    <t>Bigum&amp;Co, Rued Langgaards Vej 8, 2300 København</t>
  </si>
  <si>
    <t>Møde med Seven Oceans</t>
  </si>
  <si>
    <t xml:space="preserve">Bryghusgade 8, 1473	</t>
  </si>
  <si>
    <t>Werner Valeur Intro</t>
  </si>
  <si>
    <t>Werner Valeur</t>
  </si>
  <si>
    <t>Flexecharge møde</t>
  </si>
  <si>
    <t>Smedeholm 12, 2730 Herlev</t>
  </si>
  <si>
    <t>Potentiel kunde i Kolding</t>
  </si>
  <si>
    <t>Lilletorv 16, Danmark</t>
  </si>
  <si>
    <t>Talent garden</t>
  </si>
  <si>
    <t xml:space="preserve">Danneskiold-Samsøes Allé 41
</t>
  </si>
  <si>
    <t>Founders Dinner</t>
  </si>
  <si>
    <t>Admiralgade 25</t>
  </si>
  <si>
    <t>Nytårskur Dragør kommune</t>
  </si>
  <si>
    <t>Kirkevej 7, 2791 Dragør, Danmark</t>
  </si>
  <si>
    <t>VMS Workshop i Frederikshavn</t>
  </si>
  <si>
    <t>Nordhavnsvej 1</t>
  </si>
  <si>
    <t>Venture Cup</t>
  </si>
  <si>
    <t>IDA Conference, Kalvebod Brygge 31</t>
  </si>
  <si>
    <t>DTU første møde</t>
  </si>
  <si>
    <t>Anker Engelunds Vej 1, Bygning 101A</t>
  </si>
  <si>
    <t>Iværksætteri møde i Dragør Kommune</t>
  </si>
  <si>
    <t>Kirkevej 7</t>
  </si>
  <si>
    <t>Thomas investor møde</t>
  </si>
  <si>
    <t>Overgaden Oven Vandet 90</t>
  </si>
  <si>
    <t>Global Startup Awards</t>
  </si>
  <si>
    <t>Nannasgade 28</t>
  </si>
  <si>
    <t>Møde med Carsten</t>
  </si>
  <si>
    <t>Roskildevej 46</t>
  </si>
  <si>
    <t>Erhvershus hovedstaden møde</t>
  </si>
  <si>
    <t>Fruebjergvej 3, København</t>
  </si>
  <si>
    <t>Bigum Censor</t>
  </si>
  <si>
    <t>Atlas Group</t>
  </si>
  <si>
    <t>Første ALLIGN møde</t>
  </si>
  <si>
    <t>Faaborgvej 10</t>
  </si>
  <si>
    <t>Højbro plads</t>
  </si>
  <si>
    <t xml:space="preserve">Højbro Plads 5-7, Højbro Pl. 5, </t>
  </si>
  <si>
    <t>BETA beach event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</si>
</sst>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s\t\a\nd\a\rd"/>
    <numFmt numFmtId="165" formatCode="#,##0[$kr]"/>
    <numFmt numFmtId="166" formatCode="dd/mm"/>
    <numFmt numFmtId="167" formatCode="#,##0.00\ &quot;kr.&quot;"/>
    <numFmt numFmtId="168" formatCode="dd/mm/yy"/>
    <numFmt numFmtId="169" formatCode="M/d/yyyy"/>
  </numFmts>
  <fonts count="2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b/>
      <sz val="12.0"/>
      <color theme="0"/>
      <name val="Calibri"/>
    </font>
    <font/>
    <font>
      <b/>
      <sz val="18.0"/>
      <color theme="1"/>
      <name val="Calibri"/>
    </font>
    <font>
      <b/>
      <sz val="10.0"/>
      <color theme="0"/>
      <name val="Calibri"/>
    </font>
    <font>
      <sz val="10.0"/>
      <color rgb="FFFF0000"/>
      <name val="Arial"/>
    </font>
    <font>
      <sz val="10.0"/>
      <color rgb="FF000000"/>
      <name val="Arial"/>
    </font>
    <font>
      <sz val="10.0"/>
      <color rgb="FFFF0000"/>
      <name val="Calibri"/>
    </font>
    <font>
      <sz val="10.0"/>
      <color rgb="FFFFFFFF"/>
      <name val="Calibri"/>
    </font>
    <font>
      <sz val="8.0"/>
      <color theme="1"/>
      <name val="Arial"/>
    </font>
    <font>
      <sz val="16.0"/>
      <color rgb="FFFFFFFF"/>
      <name val="Calibri"/>
    </font>
    <font>
      <sz val="16.0"/>
      <color theme="1"/>
      <name val="Calibri"/>
    </font>
    <font>
      <sz val="14.0"/>
      <color rgb="FFFFFFFF"/>
      <name val="Calibri"/>
    </font>
    <font>
      <u/>
      <sz val="11.0"/>
      <color theme="1"/>
      <name val="Calibri"/>
    </font>
    <font>
      <u/>
      <sz val="10.0"/>
      <color theme="1"/>
      <name val="Calibri"/>
    </font>
    <font>
      <b/>
      <sz val="10.0"/>
      <color rgb="FFFFFFFF"/>
      <name val="Calibri"/>
    </font>
    <font>
      <color rgb="FF000000"/>
      <name val="Calibri"/>
    </font>
    <font>
      <color theme="1"/>
      <name val="Arial"/>
    </font>
    <font>
      <color theme="1"/>
      <name val="Calibri"/>
    </font>
    <font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CA5DC"/>
        <bgColor rgb="FF3CA5DC"/>
      </patternFill>
    </fill>
    <fill>
      <patternFill patternType="solid">
        <fgColor theme="0"/>
        <bgColor theme="0"/>
      </patternFill>
    </fill>
  </fills>
  <borders count="46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 style="thin">
        <color rgb="FF000000"/>
      </right>
      <top/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top/>
      <bottom/>
    </border>
    <border>
      <right/>
      <top/>
      <bottom/>
    </border>
    <border>
      <left/>
      <bottom/>
    </border>
    <border>
      <bottom/>
    </border>
    <border>
      <right/>
      <bottom/>
    </border>
    <border>
      <left/>
      <right/>
      <top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164" applyAlignment="1" applyFont="1" applyNumberFormat="1"/>
  </cellStyleXfs>
  <cellXfs count="135">
    <xf borderId="0" fillId="0" fontId="0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5" xfId="0" applyFont="1" applyNumberFormat="1"/>
    <xf borderId="0" fillId="0" fontId="1" numFmtId="0" xfId="0" applyFont="1"/>
    <xf borderId="0" fillId="0" fontId="1" numFmtId="4" xfId="0" applyFont="1" applyNumberFormat="1"/>
    <xf borderId="1" fillId="2" fontId="2" numFmtId="164" xfId="0" applyBorder="1" applyFill="1" applyFont="1" applyNumberFormat="1"/>
    <xf borderId="1" fillId="2" fontId="2" numFmtId="1" xfId="0" applyBorder="1" applyFont="1" applyNumberFormat="1"/>
    <xf borderId="0" fillId="0" fontId="3" numFmtId="166" xfId="0" applyFont="1" applyNumberForma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2" fillId="3" fontId="5" numFmtId="1" xfId="0" applyAlignment="1" applyBorder="1" applyFill="1" applyFont="1" applyNumberFormat="1">
      <alignment horizontal="center" shrinkToFit="0" vertical="center" wrapText="1"/>
    </xf>
    <xf borderId="3" fillId="0" fontId="4" numFmtId="0" xfId="0" applyAlignment="1" applyBorder="1" applyFont="1">
      <alignment horizontal="center" vertical="center"/>
    </xf>
    <xf borderId="4" fillId="0" fontId="6" numFmtId="0" xfId="0" applyBorder="1" applyFont="1"/>
    <xf borderId="5" fillId="3" fontId="5" numFmtId="1" xfId="0" applyAlignment="1" applyBorder="1" applyFont="1" applyNumberFormat="1">
      <alignment horizontal="center" shrinkToFit="0" vertical="center" wrapText="1"/>
    </xf>
    <xf borderId="6" fillId="0" fontId="6" numFmtId="0" xfId="0" applyBorder="1" applyFont="1"/>
    <xf borderId="7" fillId="0" fontId="6" numFmtId="0" xfId="0" applyBorder="1" applyFont="1"/>
    <xf borderId="8" fillId="3" fontId="5" numFmtId="1" xfId="0" applyAlignment="1" applyBorder="1" applyFont="1" applyNumberFormat="1">
      <alignment horizontal="center" shrinkToFit="0" vertical="center" wrapText="1"/>
    </xf>
    <xf borderId="9" fillId="0" fontId="4" numFmtId="49" xfId="0" applyAlignment="1" applyBorder="1" applyFont="1" applyNumberFormat="1">
      <alignment horizontal="center" readingOrder="0" vertical="center"/>
    </xf>
    <xf borderId="10" fillId="0" fontId="6" numFmtId="0" xfId="0" applyBorder="1" applyFont="1"/>
    <xf borderId="11" fillId="0" fontId="6" numFmtId="0" xfId="0" applyBorder="1" applyFont="1"/>
    <xf borderId="0" fillId="0" fontId="4" numFmtId="0" xfId="0" applyAlignment="1" applyFont="1">
      <alignment horizontal="left" vertical="center"/>
    </xf>
    <xf borderId="0" fillId="0" fontId="4" numFmtId="4" xfId="0" applyAlignment="1" applyFont="1" applyNumberFormat="1">
      <alignment horizontal="right" vertical="center"/>
    </xf>
    <xf borderId="0" fillId="0" fontId="4" numFmtId="0" xfId="0" applyAlignment="1" applyFont="1">
      <alignment horizontal="right" vertical="center"/>
    </xf>
    <xf borderId="0" fillId="0" fontId="4" numFmtId="167" xfId="0" applyAlignment="1" applyFont="1" applyNumberFormat="1">
      <alignment horizontal="right" vertical="center"/>
    </xf>
    <xf borderId="12" fillId="2" fontId="7" numFmtId="164" xfId="0" applyAlignment="1" applyBorder="1" applyFont="1" applyNumberFormat="1">
      <alignment horizontal="center" vertical="center"/>
    </xf>
    <xf borderId="13" fillId="0" fontId="6" numFmtId="0" xfId="0" applyBorder="1" applyFont="1"/>
    <xf borderId="14" fillId="0" fontId="6" numFmtId="0" xfId="0" applyBorder="1" applyFont="1"/>
    <xf borderId="15" fillId="2" fontId="7" numFmtId="164" xfId="0" applyAlignment="1" applyBorder="1" applyFont="1" applyNumberFormat="1">
      <alignment horizontal="center" vertical="center"/>
    </xf>
    <xf borderId="1" fillId="2" fontId="7" numFmtId="164" xfId="0" applyAlignment="1" applyBorder="1" applyFont="1" applyNumberFormat="1">
      <alignment horizontal="center" vertical="center"/>
    </xf>
    <xf borderId="16" fillId="3" fontId="5" numFmtId="164" xfId="0" applyAlignment="1" applyBorder="1" applyFont="1" applyNumberFormat="1">
      <alignment horizontal="center" shrinkToFit="0" vertical="center" wrapText="1"/>
    </xf>
    <xf borderId="16" fillId="3" fontId="5" numFmtId="1" xfId="0" applyAlignment="1" applyBorder="1" applyFont="1" applyNumberFormat="1">
      <alignment horizontal="center" shrinkToFit="0" vertical="center" wrapText="1"/>
    </xf>
    <xf borderId="17" fillId="3" fontId="5" numFmtId="1" xfId="0" applyAlignment="1" applyBorder="1" applyFont="1" applyNumberFormat="1">
      <alignment horizontal="center" shrinkToFit="0" vertical="center" wrapText="1"/>
    </xf>
    <xf borderId="18" fillId="0" fontId="6" numFmtId="0" xfId="0" applyBorder="1" applyFont="1"/>
    <xf borderId="19" fillId="3" fontId="8" numFmtId="1" xfId="0" applyAlignment="1" applyBorder="1" applyFont="1" applyNumberFormat="1">
      <alignment horizontal="center" shrinkToFit="0" vertical="center" wrapText="1"/>
    </xf>
    <xf borderId="8" fillId="2" fontId="2" numFmtId="168" xfId="0" applyAlignment="1" applyBorder="1" applyFont="1" applyNumberFormat="1">
      <alignment horizontal="left"/>
    </xf>
    <xf borderId="8" fillId="2" fontId="2" numFmtId="49" xfId="0" applyAlignment="1" applyBorder="1" applyFont="1" applyNumberFormat="1">
      <alignment horizontal="left"/>
    </xf>
    <xf borderId="8" fillId="4" fontId="9" numFmtId="1" xfId="0" applyAlignment="1" applyBorder="1" applyFill="1" applyFont="1" applyNumberFormat="1">
      <alignment shrinkToFit="0" wrapText="1"/>
    </xf>
    <xf borderId="8" fillId="0" fontId="10" numFmtId="164" xfId="0" applyBorder="1" applyFont="1" applyNumberFormat="1"/>
    <xf borderId="20" fillId="2" fontId="2" numFmtId="1" xfId="0" applyAlignment="1" applyBorder="1" applyFont="1" applyNumberFormat="1">
      <alignment horizontal="center"/>
    </xf>
    <xf borderId="8" fillId="2" fontId="2" numFmtId="49" xfId="0" applyBorder="1" applyFont="1" applyNumberFormat="1"/>
    <xf borderId="8" fillId="2" fontId="2" numFmtId="1" xfId="0" applyAlignment="1" applyBorder="1" applyFont="1" applyNumberFormat="1">
      <alignment horizontal="center" readingOrder="0"/>
    </xf>
    <xf borderId="21" fillId="0" fontId="10" numFmtId="4" xfId="0" applyBorder="1" applyFont="1" applyNumberFormat="1"/>
    <xf borderId="20" fillId="4" fontId="10" numFmtId="4" xfId="0" applyBorder="1" applyFont="1" applyNumberFormat="1"/>
    <xf borderId="8" fillId="2" fontId="2" numFmtId="4" xfId="0" applyBorder="1" applyFont="1" applyNumberFormat="1"/>
    <xf borderId="8" fillId="2" fontId="2" numFmtId="1" xfId="0" applyAlignment="1" applyBorder="1" applyFont="1" applyNumberFormat="1">
      <alignment horizontal="center"/>
    </xf>
    <xf borderId="22" fillId="0" fontId="10" numFmtId="4" xfId="0" applyBorder="1" applyFont="1" applyNumberFormat="1"/>
    <xf borderId="8" fillId="4" fontId="10" numFmtId="4" xfId="0" applyBorder="1" applyFont="1" applyNumberFormat="1"/>
    <xf borderId="8" fillId="2" fontId="2" numFmtId="164" xfId="0" applyBorder="1" applyFont="1" applyNumberFormat="1"/>
    <xf borderId="8" fillId="0" fontId="10" numFmtId="4" xfId="0" applyBorder="1" applyFont="1" applyNumberFormat="1"/>
    <xf borderId="23" fillId="2" fontId="2" numFmtId="49" xfId="0" applyBorder="1" applyFont="1" applyNumberFormat="1"/>
    <xf borderId="19" fillId="2" fontId="2" numFmtId="49" xfId="0" applyAlignment="1" applyBorder="1" applyFont="1" applyNumberFormat="1">
      <alignment horizontal="left"/>
    </xf>
    <xf borderId="19" fillId="2" fontId="2" numFmtId="164" xfId="0" applyBorder="1" applyFont="1" applyNumberFormat="1"/>
    <xf borderId="19" fillId="2" fontId="2" numFmtId="4" xfId="0" applyBorder="1" applyFont="1" applyNumberFormat="1"/>
    <xf borderId="23" fillId="2" fontId="2" numFmtId="49" xfId="0" applyAlignment="1" applyBorder="1" applyFont="1" applyNumberFormat="1">
      <alignment horizontal="left"/>
    </xf>
    <xf borderId="23" fillId="2" fontId="2" numFmtId="164" xfId="0" applyBorder="1" applyFont="1" applyNumberFormat="1"/>
    <xf borderId="23" fillId="2" fontId="2" numFmtId="4" xfId="0" applyBorder="1" applyFont="1" applyNumberFormat="1"/>
    <xf borderId="24" fillId="2" fontId="2" numFmtId="1" xfId="0" applyAlignment="1" applyBorder="1" applyFont="1" applyNumberFormat="1">
      <alignment horizontal="left" vertical="center"/>
    </xf>
    <xf borderId="25" fillId="0" fontId="6" numFmtId="0" xfId="0" applyBorder="1" applyFont="1"/>
    <xf borderId="26" fillId="0" fontId="6" numFmtId="0" xfId="0" applyBorder="1" applyFont="1"/>
    <xf borderId="27" fillId="0" fontId="6" numFmtId="0" xfId="0" applyBorder="1" applyFont="1"/>
    <xf borderId="28" fillId="0" fontId="6" numFmtId="0" xfId="0" applyBorder="1" applyFont="1"/>
    <xf borderId="5" fillId="2" fontId="11" numFmtId="164" xfId="0" applyAlignment="1" applyBorder="1" applyFont="1" applyNumberFormat="1">
      <alignment horizontal="left"/>
    </xf>
    <xf borderId="29" fillId="0" fontId="6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33" fillId="0" fontId="6" numFmtId="0" xfId="0" applyBorder="1" applyFont="1"/>
    <xf borderId="5" fillId="3" fontId="12" numFmtId="1" xfId="0" applyAlignment="1" applyBorder="1" applyFont="1" applyNumberFormat="1">
      <alignment horizontal="left" vertical="center"/>
    </xf>
    <xf borderId="8" fillId="3" fontId="12" numFmtId="4" xfId="0" applyBorder="1" applyFont="1" applyNumberFormat="1"/>
    <xf borderId="1" fillId="2" fontId="2" numFmtId="164" xfId="0" applyAlignment="1" applyBorder="1" applyFont="1" applyNumberFormat="1">
      <alignment vertical="center"/>
    </xf>
    <xf borderId="34" fillId="3" fontId="12" numFmtId="1" xfId="0" applyAlignment="1" applyBorder="1" applyFont="1" applyNumberFormat="1">
      <alignment horizontal="center" shrinkToFit="0" vertical="center" wrapText="1"/>
    </xf>
    <xf borderId="8" fillId="3" fontId="12" numFmtId="4" xfId="0" applyAlignment="1" applyBorder="1" applyFont="1" applyNumberFormat="1">
      <alignment horizontal="center" readingOrder="0" vertical="center"/>
    </xf>
    <xf borderId="0" fillId="0" fontId="13" numFmtId="164" xfId="0" applyAlignment="1" applyFont="1" applyNumberFormat="1">
      <alignment horizontal="left" vertical="center"/>
    </xf>
    <xf borderId="5" fillId="3" fontId="14" numFmtId="1" xfId="0" applyAlignment="1" applyBorder="1" applyFont="1" applyNumberFormat="1">
      <alignment horizontal="center" vertical="center"/>
    </xf>
    <xf borderId="3" fillId="2" fontId="15" numFmtId="167" xfId="0" applyAlignment="1" applyBorder="1" applyFont="1" applyNumberFormat="1">
      <alignment horizontal="center" vertical="center"/>
    </xf>
    <xf borderId="35" fillId="3" fontId="16" numFmtId="1" xfId="0" applyAlignment="1" applyBorder="1" applyFont="1" applyNumberFormat="1">
      <alignment horizontal="center" vertical="center"/>
    </xf>
    <xf borderId="36" fillId="0" fontId="6" numFmtId="0" xfId="0" applyBorder="1" applyFont="1"/>
    <xf borderId="37" fillId="0" fontId="6" numFmtId="0" xfId="0" applyBorder="1" applyFont="1"/>
    <xf borderId="35" fillId="2" fontId="2" numFmtId="164" xfId="0" applyAlignment="1" applyBorder="1" applyFont="1" applyNumberFormat="1">
      <alignment horizontal="center"/>
    </xf>
    <xf borderId="38" fillId="0" fontId="6" numFmtId="0" xfId="0" applyBorder="1" applyFont="1"/>
    <xf borderId="39" fillId="0" fontId="6" numFmtId="0" xfId="0" applyBorder="1" applyFont="1"/>
    <xf borderId="3" fillId="3" fontId="16" numFmtId="1" xfId="0" applyAlignment="1" applyBorder="1" applyFont="1" applyNumberFormat="1">
      <alignment horizontal="center" vertical="center"/>
    </xf>
    <xf borderId="3" fillId="2" fontId="2" numFmtId="164" xfId="0" applyAlignment="1" applyBorder="1" applyFont="1" applyNumberFormat="1">
      <alignment horizontal="center"/>
    </xf>
    <xf borderId="3" fillId="0" fontId="4" numFmtId="17" xfId="0" applyAlignment="1" applyBorder="1" applyFont="1" applyNumberFormat="1">
      <alignment horizontal="center" vertical="center"/>
    </xf>
    <xf borderId="40" fillId="3" fontId="8" numFmtId="1" xfId="0" applyAlignment="1" applyBorder="1" applyFont="1" applyNumberFormat="1">
      <alignment horizontal="center" shrinkToFit="0" vertical="center" wrapText="1"/>
    </xf>
    <xf borderId="5" fillId="2" fontId="2" numFmtId="164" xfId="0" applyBorder="1" applyFont="1" applyNumberFormat="1"/>
    <xf borderId="8" fillId="0" fontId="1" numFmtId="0" xfId="0" applyBorder="1" applyFont="1"/>
    <xf borderId="41" fillId="0" fontId="10" numFmtId="4" xfId="0" applyBorder="1" applyFont="1" applyNumberFormat="1"/>
    <xf borderId="3" fillId="0" fontId="4" numFmtId="17" xfId="0" applyAlignment="1" applyBorder="1" applyFont="1" applyNumberFormat="1">
      <alignment horizontal="center" readingOrder="0" vertical="center"/>
    </xf>
    <xf borderId="0" fillId="0" fontId="4" numFmtId="4" xfId="0" applyAlignment="1" applyFont="1" applyNumberFormat="1">
      <alignment horizontal="right" readingOrder="0" vertical="center"/>
    </xf>
    <xf borderId="0" fillId="0" fontId="17" numFmtId="0" xfId="0" applyAlignment="1" applyFont="1">
      <alignment horizontal="center" readingOrder="0"/>
    </xf>
    <xf borderId="8" fillId="2" fontId="2" numFmtId="168" xfId="0" applyAlignment="1" applyBorder="1" applyFont="1" applyNumberFormat="1">
      <alignment horizontal="left" readingOrder="0"/>
    </xf>
    <xf borderId="8" fillId="2" fontId="2" numFmtId="0" xfId="0" applyAlignment="1" applyBorder="1" applyFont="1">
      <alignment horizontal="left" readingOrder="0"/>
    </xf>
    <xf borderId="8" fillId="2" fontId="2" numFmtId="49" xfId="0" applyAlignment="1" applyBorder="1" applyFont="1" applyNumberFormat="1">
      <alignment horizontal="left" readingOrder="0"/>
    </xf>
    <xf borderId="8" fillId="4" fontId="9" numFmtId="1" xfId="0" applyAlignment="1" applyBorder="1" applyFont="1" applyNumberFormat="1">
      <alignment readingOrder="0" shrinkToFit="0" wrapText="1"/>
    </xf>
    <xf borderId="8" fillId="2" fontId="2" numFmtId="49" xfId="0" applyAlignment="1" applyBorder="1" applyFont="1" applyNumberFormat="1">
      <alignment readingOrder="0"/>
    </xf>
    <xf borderId="21" fillId="0" fontId="10" numFmtId="4" xfId="0" applyAlignment="1" applyBorder="1" applyFont="1" applyNumberFormat="1">
      <alignment readingOrder="0"/>
    </xf>
    <xf borderId="20" fillId="4" fontId="10" numFmtId="4" xfId="0" applyAlignment="1" applyBorder="1" applyFont="1" applyNumberFormat="1">
      <alignment readingOrder="0"/>
    </xf>
    <xf borderId="8" fillId="2" fontId="2" numFmtId="4" xfId="0" applyAlignment="1" applyBorder="1" applyFont="1" applyNumberFormat="1">
      <alignment readingOrder="0"/>
    </xf>
    <xf borderId="1" fillId="2" fontId="18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3" fillId="0" fontId="4" numFmtId="0" xfId="0" applyAlignment="1" applyBorder="1" applyFont="1">
      <alignment horizontal="center" readingOrder="0" vertical="center"/>
    </xf>
    <xf borderId="8" fillId="2" fontId="2" numFmtId="169" xfId="0" applyAlignment="1" applyBorder="1" applyFont="1" applyNumberFormat="1">
      <alignment horizontal="left" readingOrder="0"/>
    </xf>
    <xf borderId="0" fillId="2" fontId="2" numFmtId="164" xfId="0" applyFont="1" applyNumberFormat="1"/>
    <xf borderId="42" fillId="3" fontId="5" numFmtId="1" xfId="0" applyAlignment="1" applyBorder="1" applyFont="1" applyNumberFormat="1">
      <alignment horizontal="center" shrinkToFit="0" vertical="center" wrapText="1"/>
    </xf>
    <xf borderId="19" fillId="3" fontId="19" numFmtId="1" xfId="0" applyAlignment="1" applyBorder="1" applyFont="1" applyNumberFormat="1">
      <alignment horizontal="center" readingOrder="0" shrinkToFit="0" vertical="center" wrapText="1"/>
    </xf>
    <xf borderId="4" fillId="2" fontId="2" numFmtId="4" xfId="0" applyBorder="1" applyFont="1" applyNumberFormat="1"/>
    <xf borderId="22" fillId="2" fontId="2" numFmtId="4" xfId="0" applyBorder="1" applyFont="1" applyNumberFormat="1"/>
    <xf borderId="0" fillId="2" fontId="20" numFmtId="1" xfId="0" applyAlignment="1" applyFont="1" applyNumberFormat="1">
      <alignment horizontal="left" readingOrder="0"/>
    </xf>
    <xf borderId="8" fillId="2" fontId="2" numFmtId="169" xfId="0" applyAlignment="1" applyBorder="1" applyFont="1" applyNumberFormat="1">
      <alignment horizontal="right" readingOrder="0"/>
    </xf>
    <xf borderId="43" fillId="2" fontId="21" numFmtId="164" xfId="0" applyAlignment="1" applyBorder="1" applyFont="1" applyNumberFormat="1">
      <alignment vertical="bottom"/>
    </xf>
    <xf borderId="4" fillId="2" fontId="22" numFmtId="169" xfId="0" applyAlignment="1" applyBorder="1" applyFont="1" applyNumberFormat="1">
      <alignment vertical="bottom"/>
    </xf>
    <xf borderId="4" fillId="2" fontId="22" numFmtId="49" xfId="0" applyAlignment="1" applyBorder="1" applyFont="1" applyNumberFormat="1">
      <alignment vertical="bottom"/>
    </xf>
    <xf borderId="4" fillId="2" fontId="23" numFmtId="1" xfId="0" applyAlignment="1" applyBorder="1" applyFont="1" applyNumberFormat="1">
      <alignment horizontal="right" shrinkToFit="0" vertical="bottom" wrapText="1"/>
    </xf>
    <xf borderId="4" fillId="2" fontId="21" numFmtId="164" xfId="0" applyAlignment="1" applyBorder="1" applyFont="1" applyNumberFormat="1">
      <alignment vertical="bottom"/>
    </xf>
    <xf borderId="43" fillId="0" fontId="21" numFmtId="164" xfId="0" applyAlignment="1" applyBorder="1" applyFont="1" applyNumberFormat="1">
      <alignment vertical="bottom"/>
    </xf>
    <xf borderId="4" fillId="2" fontId="22" numFmtId="1" xfId="0" applyAlignment="1" applyBorder="1" applyFont="1" applyNumberFormat="1">
      <alignment horizontal="center" vertical="bottom"/>
    </xf>
    <xf borderId="44" fillId="2" fontId="22" numFmtId="1" xfId="0" applyAlignment="1" applyBorder="1" applyFont="1" applyNumberFormat="1">
      <alignment vertical="bottom"/>
    </xf>
    <xf borderId="45" fillId="0" fontId="21" numFmtId="4" xfId="0" applyAlignment="1" applyBorder="1" applyFont="1" applyNumberFormat="1">
      <alignment horizontal="right" vertical="bottom"/>
    </xf>
    <xf borderId="4" fillId="2" fontId="21" numFmtId="4" xfId="0" applyAlignment="1" applyBorder="1" applyFont="1" applyNumberFormat="1">
      <alignment horizontal="right" vertical="bottom"/>
    </xf>
    <xf borderId="4" fillId="2" fontId="22" numFmtId="4" xfId="0" applyAlignment="1" applyBorder="1" applyFont="1" applyNumberFormat="1">
      <alignment horizontal="right" vertical="bottom"/>
    </xf>
    <xf borderId="4" fillId="2" fontId="21" numFmtId="4" xfId="0" applyAlignment="1" applyBorder="1" applyFont="1" applyNumberFormat="1">
      <alignment vertical="bottom"/>
    </xf>
    <xf borderId="0" fillId="2" fontId="21" numFmtId="164" xfId="0" applyAlignment="1" applyFont="1" applyNumberFormat="1">
      <alignment vertical="bottom"/>
    </xf>
    <xf borderId="4" fillId="2" fontId="22" numFmtId="169" xfId="0" applyAlignment="1" applyBorder="1" applyFont="1" applyNumberFormat="1">
      <alignment horizontal="right" readingOrder="0" vertical="bottom"/>
    </xf>
    <xf borderId="44" fillId="2" fontId="22" numFmtId="1" xfId="0" applyAlignment="1" applyBorder="1" applyFont="1" applyNumberFormat="1">
      <alignment horizontal="right" vertical="bottom"/>
    </xf>
    <xf borderId="36" fillId="2" fontId="2" numFmtId="49" xfId="0" applyAlignment="1" applyBorder="1" applyFont="1" applyNumberFormat="1">
      <alignment horizontal="left" readingOrder="0"/>
    </xf>
    <xf borderId="40" fillId="4" fontId="9" numFmtId="1" xfId="0" applyAlignment="1" applyBorder="1" applyFont="1" applyNumberFormat="1">
      <alignment readingOrder="0" shrinkToFit="0" wrapText="1"/>
    </xf>
    <xf borderId="40" fillId="2" fontId="2" numFmtId="164" xfId="0" applyBorder="1" applyFont="1" applyNumberFormat="1"/>
    <xf borderId="0" fillId="0" fontId="10" numFmtId="4" xfId="0" applyAlignment="1" applyFont="1" applyNumberFormat="1">
      <alignment readingOrder="0"/>
    </xf>
    <xf borderId="37" fillId="4" fontId="10" numFmtId="4" xfId="0" applyAlignment="1" applyBorder="1" applyFont="1" applyNumberFormat="1">
      <alignment readingOrder="0"/>
    </xf>
    <xf borderId="40" fillId="2" fontId="2" numFmtId="4" xfId="0" applyBorder="1" applyFont="1" applyNumberFormat="1"/>
    <xf borderId="0" fillId="2" fontId="2" numFmtId="4" xfId="0" applyFont="1" applyNumberFormat="1"/>
    <xf borderId="4" fillId="2" fontId="2" numFmtId="4" xfId="0" applyAlignment="1" applyBorder="1" applyFont="1" applyNumberFormat="1">
      <alignment readingOrder="0"/>
    </xf>
    <xf borderId="8" fillId="2" fontId="2" numFmtId="0" xfId="0" applyAlignment="1" applyBorder="1" applyFont="1">
      <alignment readingOrder="0"/>
    </xf>
    <xf borderId="0" fillId="0" fontId="4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</xdr:row>
      <xdr:rowOff>38100</xdr:rowOff>
    </xdr:from>
    <xdr:ext cx="439102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</xdr:row>
      <xdr:rowOff>38100</xdr:rowOff>
    </xdr:from>
    <xdr:ext cx="439102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</xdr:row>
      <xdr:rowOff>38100</xdr:rowOff>
    </xdr:from>
    <xdr:ext cx="692467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</xdr:row>
      <xdr:rowOff>38100</xdr:rowOff>
    </xdr:from>
    <xdr:ext cx="692467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</xdr:row>
      <xdr:rowOff>38100</xdr:rowOff>
    </xdr:from>
    <xdr:ext cx="692467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</xdr:row>
      <xdr:rowOff>38100</xdr:rowOff>
    </xdr:from>
    <xdr:ext cx="692467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</xdr:row>
      <xdr:rowOff>38100</xdr:rowOff>
    </xdr:from>
    <xdr:ext cx="692467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</xdr:row>
      <xdr:rowOff>38100</xdr:rowOff>
    </xdr:from>
    <xdr:ext cx="692467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</xdr:row>
      <xdr:rowOff>38100</xdr:rowOff>
    </xdr:from>
    <xdr:ext cx="692467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</xdr:row>
      <xdr:rowOff>38100</xdr:rowOff>
    </xdr:from>
    <xdr:ext cx="692467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</xdr:row>
      <xdr:rowOff>38100</xdr:rowOff>
    </xdr:from>
    <xdr:ext cx="692467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</xdr:row>
      <xdr:rowOff>38100</xdr:rowOff>
    </xdr:from>
    <xdr:ext cx="692467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</xdr:row>
      <xdr:rowOff>38100</xdr:rowOff>
    </xdr:from>
    <xdr:ext cx="692467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</xdr:row>
      <xdr:rowOff>38100</xdr:rowOff>
    </xdr:from>
    <xdr:ext cx="692467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</xdr:row>
      <xdr:rowOff>38100</xdr:rowOff>
    </xdr:from>
    <xdr:ext cx="692467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</xdr:row>
      <xdr:rowOff>38100</xdr:rowOff>
    </xdr:from>
    <xdr:ext cx="692467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</xdr:row>
      <xdr:rowOff>38100</xdr:rowOff>
    </xdr:from>
    <xdr:ext cx="692467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</xdr:row>
      <xdr:rowOff>38100</xdr:rowOff>
    </xdr:from>
    <xdr:ext cx="692467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</xdr:row>
      <xdr:rowOff>38100</xdr:rowOff>
    </xdr:from>
    <xdr:ext cx="692467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</xdr:row>
      <xdr:rowOff>38100</xdr:rowOff>
    </xdr:from>
    <xdr:ext cx="692467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</xdr:row>
      <xdr:rowOff>38100</xdr:rowOff>
    </xdr:from>
    <xdr:ext cx="692467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</xdr:row>
      <xdr:rowOff>38100</xdr:rowOff>
    </xdr:from>
    <xdr:ext cx="692467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</xdr:row>
      <xdr:rowOff>38100</xdr:rowOff>
    </xdr:from>
    <xdr:ext cx="692467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</xdr:row>
      <xdr:rowOff>38100</xdr:rowOff>
    </xdr:from>
    <xdr:ext cx="692467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</xdr:row>
      <xdr:rowOff>38100</xdr:rowOff>
    </xdr:from>
    <xdr:ext cx="692467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</xdr:row>
      <xdr:rowOff>38100</xdr:rowOff>
    </xdr:from>
    <xdr:ext cx="692467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</xdr:row>
      <xdr:rowOff>38100</xdr:rowOff>
    </xdr:from>
    <xdr:ext cx="692467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inero.dk/support/kilometergodtgoerelse/" TargetMode="External"/><Relationship Id="rId2" Type="http://schemas.openxmlformats.org/officeDocument/2006/relationships/hyperlink" Target="https://dinero.dk/support/kilometergodtgoerelse/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inero.dk/support/kilometergodtgoerelse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inero.dk/support/kilometergodtgoerelse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inero.dk/support/kilometergodtgoerelse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inero.dk/support/kilometergodtgoerelse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inero.dk/support/kilometergodtgoerelse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inero.dk/support/kilometergodtgoerelse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inero.dk/support/kilometergodtgoerelse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inero.dk/support/kilometergodtgoerelse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inero.dk/support/kilometergodtgoerelse/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inero.dk/support/kilometergodtgoerelse/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inero.dk/support/kilometergodtgoerelse/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inero.dk/support/kilometergodtgoerelse/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inero.dk/support/kilometergodtgoerelse/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inero.dk/support/kilometergodtgoerelse/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inero.dk/support/kilometergodtgoerelse/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inero.dk/support/kilometergodtgoerelse/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inero.dk/support/kilometergodtgoerelse/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inero.dk/support/kilometergodtgoerelse/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dinero.dk/support/kilometergodtgoerelse/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inero.dk/support/kilometergodtgoerelse/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dinero.dk/support/kilometergodtgoerelse/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dinero.dk/support/kilometergodtgoerelse/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dinero.dk/support/kilometergodtgoerelse/" TargetMode="External"/><Relationship Id="rId2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13"/>
  </cols>
  <sheetData>
    <row r="1">
      <c r="B1" s="1">
        <v>2023.0</v>
      </c>
      <c r="C1" s="1">
        <v>2024.0</v>
      </c>
      <c r="D1" s="1">
        <v>2025.0</v>
      </c>
    </row>
    <row r="2">
      <c r="A2" s="1" t="s">
        <v>0</v>
      </c>
      <c r="B2" s="2">
        <f>SUM('Kørselsgodtgørelse okt 2023 '!K13,'Kørselsgodtgørelse Nov 2023'!K13,'Kørselsgodtgørelse Dec 2023'!K13)</f>
        <v>4565.52</v>
      </c>
      <c r="C2" s="2">
        <f>SUM('Kørselsgodtgørelse Jan 2024'!K13+'Kørselsgodtgørelse Feb 2024'!K13+'Kørselsgodtgørelse Marts 2024'!K13+'Kørselsgodtgørelse April 2024'!K13+'Kørselsgodtgørelse April 2024'!K13+'Kørselsgodtgørelse Maj 2024'!K13+'Kørselsgodtgørelse Juni 2024'!K13+'Kørselsgodtgørelse Juli 2024'!K13+'Kørselsgodtgørelse Aug 2024'!K13+'Kørselsgodtgørelse Sept 2024'!K13+'Kørselsgodtgørelse Okt 2024'!K13+'Kørselsgodtgørelse Nov 2024'!K13)</f>
        <v>27458.55</v>
      </c>
    </row>
    <row r="8">
      <c r="C8" s="2"/>
    </row>
    <row r="10">
      <c r="C10" s="1" t="s">
        <v>1</v>
      </c>
      <c r="D10" s="3">
        <f>SUM('Kørselsgodtgørelse Marts 2024'!K13+'Kørselsgodtgørelse April 2024'!K13+'Kørselsgodtgørelse April 2024'!K13+'Kørselsgodtgørelse Maj 2024'!K13+'Kørselsgodtgørelse Juni 2024'!K13+'Kørselsgodtgørelse Juli 2024'!K13+'Kørselsgodtgørelse Aug 2024'!K13+'Kørselsgodtgørelse Sept 2024'!K13+'Kørselsgodtgørelse Okt 2024'!K13+'Kørselsgodtgørelse Nov 2024'!K13)</f>
        <v>19704.21</v>
      </c>
    </row>
    <row r="11">
      <c r="C11" s="1" t="s">
        <v>2</v>
      </c>
      <c r="D11" s="3">
        <f>SUM('Kørselsgodtgørelse Dec 2024'!K13)+('Kørselsgodtgørelse Jan 2025'!K13)</f>
        <v>6791.48</v>
      </c>
    </row>
    <row r="16">
      <c r="A16" s="4">
        <f>'Kørselsgodtgørelse Marts 2024'!K11+'Kørselsgodtgørelse April 2024'!K11+'Kørselsgodtgørelse Maj 2024'!K11+'Kørselsgodtgørelse Juni 2024'!K11+'Kørselsgodtgørelse Juli 2024'!K11+'Kørselsgodtgørelse Aug 2024'!K11+'Kørselsgodtgørelse Sept 2024'!K11+'Kørselsgodtgørelse Okt 2024'!K11+'Kørselsgodtgørelse Nov 2024'!K11+'Kørselsgodtgørelse Dec 2024'!K11+'Kørselsgodtgørelse Jan 2025'!K11</f>
        <v>6347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0.25"/>
    <col customWidth="1" min="2" max="2" width="20.13"/>
    <col customWidth="1" min="3" max="3" width="24.75"/>
    <col customWidth="1" min="4" max="4" width="12.25"/>
    <col customWidth="1" min="5" max="5" width="12.38"/>
    <col customWidth="1" min="6" max="6" width="20.88"/>
    <col customWidth="1" min="7" max="7" width="11.25"/>
    <col customWidth="1" min="8" max="8" width="19.38"/>
    <col customWidth="1" min="9" max="9" width="11.63"/>
    <col customWidth="1" min="10" max="10" width="13.38"/>
    <col customWidth="1" min="11" max="11" width="14.13"/>
    <col customWidth="1" min="12" max="13" width="10.38"/>
    <col customWidth="1" min="14" max="26" width="8.75"/>
  </cols>
  <sheetData>
    <row r="1" ht="12.75" customHeight="1">
      <c r="A1" s="5"/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9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8"/>
      <c r="B9" s="10" t="s">
        <v>4</v>
      </c>
      <c r="C9" s="11" t="s">
        <v>5</v>
      </c>
      <c r="D9" s="12"/>
      <c r="E9" s="9"/>
      <c r="F9" s="9"/>
      <c r="G9" s="9"/>
      <c r="H9" s="13" t="s">
        <v>6</v>
      </c>
      <c r="I9" s="14"/>
      <c r="J9" s="11" t="s">
        <v>7</v>
      </c>
      <c r="K9" s="15"/>
      <c r="L9" s="15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8"/>
      <c r="B10" s="16" t="s">
        <v>8</v>
      </c>
      <c r="C10" s="11" t="s">
        <v>9</v>
      </c>
      <c r="D10" s="12"/>
      <c r="E10" s="9"/>
      <c r="F10" s="9"/>
      <c r="G10" s="9"/>
      <c r="H10" s="13" t="s">
        <v>10</v>
      </c>
      <c r="I10" s="14"/>
      <c r="J10" s="17" t="s">
        <v>11</v>
      </c>
      <c r="K10" s="18"/>
      <c r="L10" s="18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20" t="s">
        <v>12</v>
      </c>
      <c r="K11" s="21">
        <f>SUM(L18:L21)</f>
        <v>210</v>
      </c>
      <c r="L11" s="9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8"/>
      <c r="B12" s="9"/>
      <c r="C12" s="9"/>
      <c r="D12" s="9"/>
      <c r="E12" s="9"/>
      <c r="F12" s="9"/>
      <c r="G12" s="9"/>
      <c r="H12" s="9"/>
      <c r="I12" s="9"/>
      <c r="J12" s="20" t="s">
        <v>13</v>
      </c>
      <c r="K12" s="22" t="s">
        <v>14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8"/>
      <c r="B13" s="8"/>
      <c r="C13" s="8"/>
      <c r="D13" s="8"/>
      <c r="E13" s="5"/>
      <c r="F13" s="5"/>
      <c r="G13" s="5"/>
      <c r="H13" s="5"/>
      <c r="I13" s="5"/>
      <c r="J13" s="20" t="s">
        <v>15</v>
      </c>
      <c r="K13" s="23">
        <v>783.3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24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27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5.25" customHeight="1">
      <c r="A16" s="5"/>
      <c r="B16" s="29" t="s">
        <v>17</v>
      </c>
      <c r="C16" s="30" t="s">
        <v>18</v>
      </c>
      <c r="D16" s="31" t="s">
        <v>19</v>
      </c>
      <c r="E16" s="26"/>
      <c r="F16" s="31" t="s">
        <v>20</v>
      </c>
      <c r="G16" s="26"/>
      <c r="H16" s="31" t="s">
        <v>21</v>
      </c>
      <c r="I16" s="26"/>
      <c r="J16" s="31" t="s">
        <v>22</v>
      </c>
      <c r="K16" s="26"/>
      <c r="L16" s="31" t="s">
        <v>23</v>
      </c>
      <c r="M16" s="2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32"/>
      <c r="C17" s="32"/>
      <c r="D17" s="33" t="s">
        <v>24</v>
      </c>
      <c r="E17" s="33" t="s">
        <v>25</v>
      </c>
      <c r="F17" s="33" t="s">
        <v>26</v>
      </c>
      <c r="G17" s="33" t="s">
        <v>27</v>
      </c>
      <c r="H17" s="33" t="s">
        <v>26</v>
      </c>
      <c r="I17" s="33" t="s">
        <v>27</v>
      </c>
      <c r="J17" s="33" t="s">
        <v>28</v>
      </c>
      <c r="K17" s="33" t="s">
        <v>29</v>
      </c>
      <c r="L17" s="33" t="s">
        <v>24</v>
      </c>
      <c r="M17" s="33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5"/>
      <c r="B18" s="34">
        <v>45224.0</v>
      </c>
      <c r="C18" s="35" t="s">
        <v>30</v>
      </c>
      <c r="D18" s="36">
        <v>1.0</v>
      </c>
      <c r="E18" s="36"/>
      <c r="F18" s="37" t="s">
        <v>31</v>
      </c>
      <c r="G18" s="38">
        <v>2791.0</v>
      </c>
      <c r="H18" s="39" t="s">
        <v>32</v>
      </c>
      <c r="I18" s="40">
        <v>2750.0</v>
      </c>
      <c r="J18" s="41">
        <v>39.0</v>
      </c>
      <c r="K18" s="42">
        <v>39.0</v>
      </c>
      <c r="L18" s="43">
        <f t="shared" ref="L18:L21" si="1">SUM(J18,K18)</f>
        <v>78</v>
      </c>
      <c r="M18" s="4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5"/>
      <c r="B19" s="34">
        <v>45225.0</v>
      </c>
      <c r="C19" s="35" t="s">
        <v>33</v>
      </c>
      <c r="D19" s="36">
        <v>1.0</v>
      </c>
      <c r="E19" s="36"/>
      <c r="F19" s="37" t="s">
        <v>31</v>
      </c>
      <c r="G19" s="38">
        <v>2791.0</v>
      </c>
      <c r="H19" s="39" t="s">
        <v>34</v>
      </c>
      <c r="I19" s="44">
        <v>2300.0</v>
      </c>
      <c r="J19" s="45">
        <v>15.0</v>
      </c>
      <c r="K19" s="46">
        <v>15.0</v>
      </c>
      <c r="L19" s="43">
        <f t="shared" si="1"/>
        <v>30</v>
      </c>
      <c r="M19" s="4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34">
        <v>45228.0</v>
      </c>
      <c r="C20" s="35" t="s">
        <v>35</v>
      </c>
      <c r="D20" s="36">
        <v>1.0</v>
      </c>
      <c r="E20" s="36"/>
      <c r="F20" s="37" t="s">
        <v>31</v>
      </c>
      <c r="G20" s="38">
        <v>2791.0</v>
      </c>
      <c r="H20" s="47" t="s">
        <v>36</v>
      </c>
      <c r="I20" s="44">
        <v>2300.0</v>
      </c>
      <c r="J20" s="48">
        <v>12.0</v>
      </c>
      <c r="K20" s="46">
        <v>12.0</v>
      </c>
      <c r="L20" s="43">
        <f t="shared" si="1"/>
        <v>24</v>
      </c>
      <c r="M20" s="4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34">
        <v>45230.0</v>
      </c>
      <c r="C21" s="35" t="s">
        <v>37</v>
      </c>
      <c r="D21" s="36">
        <v>1.0</v>
      </c>
      <c r="E21" s="36"/>
      <c r="F21" s="37" t="s">
        <v>31</v>
      </c>
      <c r="G21" s="38">
        <v>2791.0</v>
      </c>
      <c r="H21" s="39" t="s">
        <v>32</v>
      </c>
      <c r="I21" s="40">
        <v>2750.0</v>
      </c>
      <c r="J21" s="41">
        <v>39.0</v>
      </c>
      <c r="K21" s="42">
        <v>39.0</v>
      </c>
      <c r="L21" s="43">
        <f t="shared" si="1"/>
        <v>78</v>
      </c>
      <c r="M21" s="4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34"/>
      <c r="C22" s="35"/>
      <c r="D22" s="36"/>
      <c r="E22" s="36"/>
      <c r="F22" s="49"/>
      <c r="G22" s="44"/>
      <c r="H22" s="47"/>
      <c r="I22" s="44"/>
      <c r="J22" s="48"/>
      <c r="K22" s="46"/>
      <c r="L22" s="43"/>
      <c r="M22" s="4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34"/>
      <c r="C23" s="35"/>
      <c r="D23" s="47"/>
      <c r="E23" s="47"/>
      <c r="F23" s="39"/>
      <c r="G23" s="44"/>
      <c r="H23" s="47"/>
      <c r="I23" s="44"/>
      <c r="J23" s="48"/>
      <c r="K23" s="46"/>
      <c r="L23" s="43"/>
      <c r="M23" s="4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34"/>
      <c r="C24" s="35"/>
      <c r="D24" s="47"/>
      <c r="E24" s="47"/>
      <c r="F24" s="39"/>
      <c r="G24" s="44"/>
      <c r="H24" s="47"/>
      <c r="I24" s="44"/>
      <c r="J24" s="43"/>
      <c r="K24" s="43"/>
      <c r="L24" s="43"/>
      <c r="M24" s="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34"/>
      <c r="C25" s="35"/>
      <c r="D25" s="47"/>
      <c r="E25" s="47"/>
      <c r="F25" s="39"/>
      <c r="G25" s="44"/>
      <c r="H25" s="47"/>
      <c r="I25" s="44"/>
      <c r="J25" s="43"/>
      <c r="K25" s="43"/>
      <c r="L25" s="43"/>
      <c r="M25" s="4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34"/>
      <c r="C26" s="35"/>
      <c r="D26" s="47"/>
      <c r="E26" s="47"/>
      <c r="F26" s="39"/>
      <c r="G26" s="44"/>
      <c r="H26" s="47"/>
      <c r="I26" s="44"/>
      <c r="J26" s="43"/>
      <c r="K26" s="43"/>
      <c r="L26" s="43"/>
      <c r="M26" s="4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34"/>
      <c r="C27" s="35"/>
      <c r="D27" s="47"/>
      <c r="E27" s="47"/>
      <c r="F27" s="39"/>
      <c r="G27" s="44"/>
      <c r="H27" s="47"/>
      <c r="I27" s="44"/>
      <c r="J27" s="43"/>
      <c r="K27" s="43"/>
      <c r="L27" s="43"/>
      <c r="M27" s="4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34"/>
      <c r="C28" s="50"/>
      <c r="D28" s="51"/>
      <c r="E28" s="51"/>
      <c r="F28" s="39"/>
      <c r="G28" s="44"/>
      <c r="H28" s="51"/>
      <c r="I28" s="44"/>
      <c r="J28" s="52"/>
      <c r="K28" s="52"/>
      <c r="L28" s="43"/>
      <c r="M28" s="4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34"/>
      <c r="C29" s="35"/>
      <c r="D29" s="47"/>
      <c r="E29" s="47"/>
      <c r="F29" s="39"/>
      <c r="G29" s="44"/>
      <c r="H29" s="47"/>
      <c r="I29" s="44"/>
      <c r="J29" s="43"/>
      <c r="K29" s="43"/>
      <c r="L29" s="43"/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34"/>
      <c r="C30" s="35"/>
      <c r="D30" s="47"/>
      <c r="E30" s="47"/>
      <c r="F30" s="39"/>
      <c r="G30" s="44"/>
      <c r="H30" s="47"/>
      <c r="I30" s="44"/>
      <c r="J30" s="43"/>
      <c r="K30" s="43"/>
      <c r="L30" s="43"/>
      <c r="M30" s="4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34"/>
      <c r="C31" s="35"/>
      <c r="D31" s="47"/>
      <c r="E31" s="47"/>
      <c r="F31" s="39"/>
      <c r="G31" s="44"/>
      <c r="H31" s="47"/>
      <c r="I31" s="44"/>
      <c r="J31" s="43"/>
      <c r="K31" s="43"/>
      <c r="L31" s="43"/>
      <c r="M31" s="4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34"/>
      <c r="C32" s="35"/>
      <c r="D32" s="47"/>
      <c r="E32" s="47"/>
      <c r="F32" s="39"/>
      <c r="G32" s="44"/>
      <c r="H32" s="47"/>
      <c r="I32" s="44"/>
      <c r="J32" s="43"/>
      <c r="K32" s="43"/>
      <c r="L32" s="43"/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34"/>
      <c r="C33" s="35"/>
      <c r="D33" s="47"/>
      <c r="E33" s="47"/>
      <c r="F33" s="39"/>
      <c r="G33" s="44"/>
      <c r="H33" s="47"/>
      <c r="I33" s="44"/>
      <c r="J33" s="43"/>
      <c r="K33" s="43"/>
      <c r="L33" s="43"/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34"/>
      <c r="C34" s="35"/>
      <c r="D34" s="47"/>
      <c r="E34" s="47"/>
      <c r="F34" s="39"/>
      <c r="G34" s="44"/>
      <c r="H34" s="47"/>
      <c r="I34" s="44"/>
      <c r="J34" s="43"/>
      <c r="K34" s="43"/>
      <c r="L34" s="43"/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34"/>
      <c r="C35" s="35"/>
      <c r="D35" s="47"/>
      <c r="E35" s="47"/>
      <c r="F35" s="39"/>
      <c r="G35" s="44"/>
      <c r="H35" s="47"/>
      <c r="I35" s="44"/>
      <c r="J35" s="43"/>
      <c r="K35" s="43"/>
      <c r="L35" s="43"/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34"/>
      <c r="C36" s="35"/>
      <c r="D36" s="47"/>
      <c r="E36" s="47"/>
      <c r="F36" s="39"/>
      <c r="G36" s="44"/>
      <c r="H36" s="47"/>
      <c r="I36" s="44"/>
      <c r="J36" s="43"/>
      <c r="K36" s="43"/>
      <c r="L36" s="43"/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34"/>
      <c r="C37" s="35"/>
      <c r="D37" s="47"/>
      <c r="E37" s="47"/>
      <c r="F37" s="39"/>
      <c r="G37" s="44"/>
      <c r="H37" s="47"/>
      <c r="I37" s="44"/>
      <c r="J37" s="43"/>
      <c r="K37" s="43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34"/>
      <c r="C38" s="35"/>
      <c r="D38" s="47"/>
      <c r="E38" s="47"/>
      <c r="F38" s="39"/>
      <c r="G38" s="44"/>
      <c r="H38" s="47"/>
      <c r="I38" s="44"/>
      <c r="J38" s="43"/>
      <c r="K38" s="43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34"/>
      <c r="C39" s="35"/>
      <c r="D39" s="47"/>
      <c r="E39" s="47"/>
      <c r="F39" s="39"/>
      <c r="G39" s="44"/>
      <c r="H39" s="47"/>
      <c r="I39" s="44"/>
      <c r="J39" s="43"/>
      <c r="K39" s="43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34"/>
      <c r="C40" s="35"/>
      <c r="D40" s="47"/>
      <c r="E40" s="47"/>
      <c r="F40" s="39"/>
      <c r="G40" s="44"/>
      <c r="H40" s="47"/>
      <c r="I40" s="44"/>
      <c r="J40" s="43"/>
      <c r="K40" s="43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34"/>
      <c r="C41" s="35"/>
      <c r="D41" s="47"/>
      <c r="E41" s="47"/>
      <c r="F41" s="39"/>
      <c r="G41" s="44"/>
      <c r="H41" s="47"/>
      <c r="I41" s="44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34"/>
      <c r="C42" s="35"/>
      <c r="D42" s="47"/>
      <c r="E42" s="47"/>
      <c r="F42" s="39"/>
      <c r="G42" s="44"/>
      <c r="H42" s="47"/>
      <c r="I42" s="44"/>
      <c r="J42" s="43"/>
      <c r="K42" s="43"/>
      <c r="L42" s="43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34"/>
      <c r="C43" s="35"/>
      <c r="D43" s="47"/>
      <c r="E43" s="47"/>
      <c r="F43" s="39"/>
      <c r="G43" s="44"/>
      <c r="H43" s="47"/>
      <c r="I43" s="44"/>
      <c r="J43" s="43"/>
      <c r="K43" s="43"/>
      <c r="L43" s="43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34"/>
      <c r="C44" s="35"/>
      <c r="D44" s="47"/>
      <c r="E44" s="47"/>
      <c r="F44" s="39"/>
      <c r="G44" s="44"/>
      <c r="H44" s="47"/>
      <c r="I44" s="44"/>
      <c r="J44" s="43"/>
      <c r="K44" s="43"/>
      <c r="L44" s="43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34"/>
      <c r="C45" s="35"/>
      <c r="D45" s="47"/>
      <c r="E45" s="47"/>
      <c r="F45" s="39"/>
      <c r="G45" s="44"/>
      <c r="H45" s="47"/>
      <c r="I45" s="44"/>
      <c r="J45" s="43"/>
      <c r="K45" s="43"/>
      <c r="L45" s="43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34"/>
      <c r="C46" s="35"/>
      <c r="D46" s="47"/>
      <c r="E46" s="47"/>
      <c r="F46" s="39"/>
      <c r="G46" s="44"/>
      <c r="H46" s="47"/>
      <c r="I46" s="44"/>
      <c r="J46" s="43"/>
      <c r="K46" s="43"/>
      <c r="L46" s="43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34"/>
      <c r="C47" s="35"/>
      <c r="D47" s="47"/>
      <c r="E47" s="47"/>
      <c r="F47" s="39"/>
      <c r="G47" s="44"/>
      <c r="H47" s="47"/>
      <c r="I47" s="44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34"/>
      <c r="C48" s="35"/>
      <c r="D48" s="47"/>
      <c r="E48" s="47"/>
      <c r="F48" s="39"/>
      <c r="G48" s="44"/>
      <c r="H48" s="47"/>
      <c r="I48" s="44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34"/>
      <c r="C49" s="35"/>
      <c r="D49" s="47"/>
      <c r="E49" s="47"/>
      <c r="F49" s="39"/>
      <c r="G49" s="44"/>
      <c r="H49" s="47"/>
      <c r="I49" s="44"/>
      <c r="J49" s="43"/>
      <c r="K49" s="43"/>
      <c r="L49" s="43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34"/>
      <c r="C50" s="35"/>
      <c r="D50" s="47"/>
      <c r="E50" s="47"/>
      <c r="F50" s="39"/>
      <c r="G50" s="44"/>
      <c r="H50" s="47"/>
      <c r="I50" s="44"/>
      <c r="J50" s="43"/>
      <c r="K50" s="43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34"/>
      <c r="C51" s="35"/>
      <c r="D51" s="47"/>
      <c r="E51" s="47"/>
      <c r="F51" s="39"/>
      <c r="G51" s="44"/>
      <c r="H51" s="47"/>
      <c r="I51" s="44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34"/>
      <c r="C52" s="35"/>
      <c r="D52" s="47"/>
      <c r="E52" s="47"/>
      <c r="F52" s="39"/>
      <c r="G52" s="44"/>
      <c r="H52" s="47"/>
      <c r="I52" s="44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34"/>
      <c r="C53" s="35"/>
      <c r="D53" s="47"/>
      <c r="E53" s="47"/>
      <c r="F53" s="39"/>
      <c r="G53" s="44"/>
      <c r="H53" s="47"/>
      <c r="I53" s="44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34"/>
      <c r="C54" s="35"/>
      <c r="D54" s="47"/>
      <c r="E54" s="47"/>
      <c r="F54" s="39"/>
      <c r="G54" s="44"/>
      <c r="H54" s="47"/>
      <c r="I54" s="44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34"/>
      <c r="C55" s="35"/>
      <c r="D55" s="47"/>
      <c r="E55" s="47"/>
      <c r="F55" s="39"/>
      <c r="G55" s="44"/>
      <c r="H55" s="47"/>
      <c r="I55" s="44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34"/>
      <c r="C56" s="35"/>
      <c r="D56" s="47"/>
      <c r="E56" s="47"/>
      <c r="F56" s="39"/>
      <c r="G56" s="44"/>
      <c r="H56" s="47"/>
      <c r="I56" s="44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34"/>
      <c r="C57" s="35"/>
      <c r="D57" s="47"/>
      <c r="E57" s="47"/>
      <c r="F57" s="39"/>
      <c r="G57" s="44"/>
      <c r="H57" s="47"/>
      <c r="I57" s="44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34"/>
      <c r="C58" s="53"/>
      <c r="D58" s="54"/>
      <c r="E58" s="54"/>
      <c r="F58" s="39"/>
      <c r="G58" s="44"/>
      <c r="H58" s="54"/>
      <c r="I58" s="44"/>
      <c r="J58" s="55"/>
      <c r="K58" s="55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34"/>
      <c r="C59" s="35"/>
      <c r="D59" s="47"/>
      <c r="E59" s="47"/>
      <c r="F59" s="39"/>
      <c r="G59" s="44"/>
      <c r="H59" s="47"/>
      <c r="I59" s="44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34"/>
      <c r="C60" s="35"/>
      <c r="D60" s="47"/>
      <c r="E60" s="47"/>
      <c r="F60" s="39"/>
      <c r="G60" s="44"/>
      <c r="H60" s="47"/>
      <c r="I60" s="44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34"/>
      <c r="C61" s="35"/>
      <c r="D61" s="47"/>
      <c r="E61" s="47"/>
      <c r="F61" s="39"/>
      <c r="G61" s="44"/>
      <c r="H61" s="47"/>
      <c r="I61" s="44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34"/>
      <c r="C62" s="35"/>
      <c r="D62" s="47"/>
      <c r="E62" s="47"/>
      <c r="F62" s="39"/>
      <c r="G62" s="44"/>
      <c r="H62" s="47"/>
      <c r="I62" s="44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34"/>
      <c r="C63" s="35"/>
      <c r="D63" s="47"/>
      <c r="E63" s="47"/>
      <c r="F63" s="39"/>
      <c r="G63" s="44"/>
      <c r="H63" s="47"/>
      <c r="I63" s="44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34"/>
      <c r="C64" s="35"/>
      <c r="D64" s="47"/>
      <c r="E64" s="47"/>
      <c r="F64" s="39"/>
      <c r="G64" s="44"/>
      <c r="H64" s="47"/>
      <c r="I64" s="44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34"/>
      <c r="C65" s="35"/>
      <c r="D65" s="47"/>
      <c r="E65" s="47"/>
      <c r="F65" s="39"/>
      <c r="G65" s="44"/>
      <c r="H65" s="47"/>
      <c r="I65" s="44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34"/>
      <c r="C66" s="35"/>
      <c r="D66" s="47"/>
      <c r="E66" s="47"/>
      <c r="F66" s="39"/>
      <c r="G66" s="44"/>
      <c r="H66" s="47"/>
      <c r="I66" s="44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34"/>
      <c r="C67" s="35"/>
      <c r="D67" s="47"/>
      <c r="E67" s="47"/>
      <c r="F67" s="39"/>
      <c r="G67" s="44"/>
      <c r="H67" s="47"/>
      <c r="I67" s="44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34"/>
      <c r="C68" s="35"/>
      <c r="D68" s="47"/>
      <c r="E68" s="47"/>
      <c r="F68" s="39"/>
      <c r="G68" s="44"/>
      <c r="H68" s="47"/>
      <c r="I68" s="44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34"/>
      <c r="C69" s="35"/>
      <c r="D69" s="47"/>
      <c r="E69" s="47"/>
      <c r="F69" s="39"/>
      <c r="G69" s="44"/>
      <c r="H69" s="47"/>
      <c r="I69" s="44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34"/>
      <c r="C70" s="35"/>
      <c r="D70" s="47"/>
      <c r="E70" s="47"/>
      <c r="F70" s="39"/>
      <c r="G70" s="44"/>
      <c r="H70" s="47"/>
      <c r="I70" s="44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34"/>
      <c r="C71" s="35"/>
      <c r="D71" s="47"/>
      <c r="E71" s="47"/>
      <c r="F71" s="39"/>
      <c r="G71" s="44"/>
      <c r="H71" s="47"/>
      <c r="I71" s="44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34"/>
      <c r="C72" s="35"/>
      <c r="D72" s="47"/>
      <c r="E72" s="47"/>
      <c r="F72" s="39"/>
      <c r="G72" s="44"/>
      <c r="H72" s="47"/>
      <c r="I72" s="44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34"/>
      <c r="C73" s="35"/>
      <c r="D73" s="47"/>
      <c r="E73" s="47"/>
      <c r="F73" s="39"/>
      <c r="G73" s="44"/>
      <c r="H73" s="47"/>
      <c r="I73" s="44"/>
      <c r="J73" s="43"/>
      <c r="K73" s="43"/>
      <c r="L73" s="43"/>
      <c r="M73" s="4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34"/>
      <c r="C74" s="35"/>
      <c r="D74" s="47"/>
      <c r="E74" s="47"/>
      <c r="F74" s="39"/>
      <c r="G74" s="44"/>
      <c r="H74" s="47"/>
      <c r="I74" s="44"/>
      <c r="J74" s="43"/>
      <c r="K74" s="43"/>
      <c r="L74" s="43"/>
      <c r="M74" s="4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34"/>
      <c r="C75" s="35"/>
      <c r="D75" s="47"/>
      <c r="E75" s="47"/>
      <c r="F75" s="39"/>
      <c r="G75" s="44"/>
      <c r="H75" s="47"/>
      <c r="I75" s="44"/>
      <c r="J75" s="43"/>
      <c r="K75" s="43"/>
      <c r="L75" s="43"/>
      <c r="M75" s="43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34"/>
      <c r="C76" s="35"/>
      <c r="D76" s="47"/>
      <c r="E76" s="47"/>
      <c r="F76" s="39"/>
      <c r="G76" s="44"/>
      <c r="H76" s="47"/>
      <c r="I76" s="44"/>
      <c r="J76" s="43"/>
      <c r="K76" s="43"/>
      <c r="L76" s="43"/>
      <c r="M76" s="43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34"/>
      <c r="C77" s="35"/>
      <c r="D77" s="47"/>
      <c r="E77" s="47"/>
      <c r="F77" s="39"/>
      <c r="G77" s="44"/>
      <c r="H77" s="47"/>
      <c r="I77" s="44"/>
      <c r="J77" s="43"/>
      <c r="K77" s="43"/>
      <c r="L77" s="43"/>
      <c r="M77" s="43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34"/>
      <c r="C78" s="35"/>
      <c r="D78" s="47"/>
      <c r="E78" s="47"/>
      <c r="F78" s="39"/>
      <c r="G78" s="44"/>
      <c r="H78" s="47"/>
      <c r="I78" s="44"/>
      <c r="J78" s="43"/>
      <c r="K78" s="43"/>
      <c r="L78" s="43"/>
      <c r="M78" s="43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34"/>
      <c r="C79" s="35"/>
      <c r="D79" s="47"/>
      <c r="E79" s="47"/>
      <c r="F79" s="39"/>
      <c r="G79" s="44"/>
      <c r="H79" s="47"/>
      <c r="I79" s="44"/>
      <c r="J79" s="43"/>
      <c r="K79" s="43"/>
      <c r="L79" s="43"/>
      <c r="M79" s="4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34"/>
      <c r="C80" s="35"/>
      <c r="D80" s="47"/>
      <c r="E80" s="47"/>
      <c r="F80" s="39"/>
      <c r="G80" s="44"/>
      <c r="H80" s="47"/>
      <c r="I80" s="44"/>
      <c r="J80" s="43"/>
      <c r="K80" s="43"/>
      <c r="L80" s="43"/>
      <c r="M80" s="43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34"/>
      <c r="C81" s="35"/>
      <c r="D81" s="47"/>
      <c r="E81" s="47"/>
      <c r="F81" s="39"/>
      <c r="G81" s="44"/>
      <c r="H81" s="47"/>
      <c r="I81" s="44"/>
      <c r="J81" s="43"/>
      <c r="K81" s="43"/>
      <c r="L81" s="43"/>
      <c r="M81" s="43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34"/>
      <c r="C82" s="35"/>
      <c r="D82" s="47"/>
      <c r="E82" s="47"/>
      <c r="F82" s="39"/>
      <c r="G82" s="44"/>
      <c r="H82" s="47"/>
      <c r="I82" s="44"/>
      <c r="J82" s="43"/>
      <c r="K82" s="43"/>
      <c r="L82" s="43"/>
      <c r="M82" s="43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34"/>
      <c r="C83" s="35"/>
      <c r="D83" s="47"/>
      <c r="E83" s="47"/>
      <c r="F83" s="39"/>
      <c r="G83" s="44"/>
      <c r="H83" s="47"/>
      <c r="I83" s="44"/>
      <c r="J83" s="43"/>
      <c r="K83" s="43"/>
      <c r="L83" s="43"/>
      <c r="M83" s="43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34"/>
      <c r="C84" s="35"/>
      <c r="D84" s="47"/>
      <c r="E84" s="47"/>
      <c r="F84" s="39"/>
      <c r="G84" s="44"/>
      <c r="H84" s="47"/>
      <c r="I84" s="44"/>
      <c r="J84" s="43"/>
      <c r="K84" s="43"/>
      <c r="L84" s="43"/>
      <c r="M84" s="43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34"/>
      <c r="C85" s="35"/>
      <c r="D85" s="47"/>
      <c r="E85" s="47"/>
      <c r="F85" s="39"/>
      <c r="G85" s="44"/>
      <c r="H85" s="47"/>
      <c r="I85" s="44"/>
      <c r="J85" s="43"/>
      <c r="K85" s="43"/>
      <c r="L85" s="43"/>
      <c r="M85" s="43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34"/>
      <c r="C86" s="35"/>
      <c r="D86" s="47"/>
      <c r="E86" s="47"/>
      <c r="F86" s="39"/>
      <c r="G86" s="44"/>
      <c r="H86" s="47"/>
      <c r="I86" s="44"/>
      <c r="J86" s="43"/>
      <c r="K86" s="43"/>
      <c r="L86" s="43"/>
      <c r="M86" s="43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34"/>
      <c r="C87" s="35"/>
      <c r="D87" s="47"/>
      <c r="E87" s="47"/>
      <c r="F87" s="39"/>
      <c r="G87" s="44"/>
      <c r="H87" s="47"/>
      <c r="I87" s="44"/>
      <c r="J87" s="43"/>
      <c r="K87" s="43"/>
      <c r="L87" s="43"/>
      <c r="M87" s="43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34"/>
      <c r="C88" s="35"/>
      <c r="D88" s="47"/>
      <c r="E88" s="47"/>
      <c r="F88" s="39"/>
      <c r="G88" s="44"/>
      <c r="H88" s="47"/>
      <c r="I88" s="44"/>
      <c r="J88" s="43"/>
      <c r="K88" s="43"/>
      <c r="L88" s="43">
        <f t="shared" ref="L88:L89" si="2">(K88-J88)*D88</f>
        <v>0</v>
      </c>
      <c r="M88" s="43">
        <f t="shared" ref="M88:M89" si="3">(K88-J88)*E88</f>
        <v>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34"/>
      <c r="C89" s="35"/>
      <c r="D89" s="47"/>
      <c r="E89" s="47"/>
      <c r="F89" s="39"/>
      <c r="G89" s="44"/>
      <c r="H89" s="47"/>
      <c r="I89" s="44"/>
      <c r="J89" s="43"/>
      <c r="K89" s="43"/>
      <c r="L89" s="43">
        <f t="shared" si="2"/>
        <v>0</v>
      </c>
      <c r="M89" s="43">
        <f t="shared" si="3"/>
        <v>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6" t="s">
        <v>38</v>
      </c>
      <c r="D91" s="57"/>
      <c r="E91" s="57"/>
      <c r="F91" s="57"/>
      <c r="G91" s="5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9"/>
      <c r="G92" s="60"/>
      <c r="H92" s="43">
        <v>0.0</v>
      </c>
      <c r="I92" s="61" t="s">
        <v>39</v>
      </c>
      <c r="J92" s="62"/>
      <c r="K92" s="62"/>
      <c r="L92" s="62"/>
      <c r="M92" s="63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64"/>
      <c r="D93" s="65"/>
      <c r="E93" s="65"/>
      <c r="F93" s="65"/>
      <c r="G93" s="66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5"/>
      <c r="B94" s="5"/>
      <c r="C94" s="67" t="s">
        <v>40</v>
      </c>
      <c r="D94" s="62"/>
      <c r="E94" s="62"/>
      <c r="F94" s="62"/>
      <c r="G94" s="14"/>
      <c r="H94" s="68">
        <f>SUM(L18:L89)</f>
        <v>210</v>
      </c>
      <c r="I94" s="69" t="s">
        <v>41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9.5" customHeight="1">
      <c r="A96" s="5"/>
      <c r="B96" s="5"/>
      <c r="C96" s="67" t="s">
        <v>42</v>
      </c>
      <c r="D96" s="62"/>
      <c r="E96" s="62"/>
      <c r="F96" s="62"/>
      <c r="G96" s="63"/>
      <c r="H96" s="68">
        <f>H92+H94</f>
        <v>210</v>
      </c>
      <c r="I96" s="69" t="s">
        <v>41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75" customHeight="1">
      <c r="A98" s="5"/>
      <c r="B98" s="5"/>
      <c r="C98" s="67" t="s">
        <v>43</v>
      </c>
      <c r="D98" s="62"/>
      <c r="E98" s="62"/>
      <c r="F98" s="62"/>
      <c r="G98" s="63"/>
      <c r="H98" s="68">
        <f>IF(H96&lt;=20000,H94,IF(H92&gt;20000,0,20000-H92))</f>
        <v>210</v>
      </c>
      <c r="I98" s="69" t="s">
        <v>41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5"/>
      <c r="B100" s="5"/>
      <c r="C100" s="67" t="s">
        <v>44</v>
      </c>
      <c r="D100" s="62"/>
      <c r="E100" s="62"/>
      <c r="F100" s="62"/>
      <c r="G100" s="14"/>
      <c r="H100" s="68">
        <f>IF(H96&gt;20000,H96-H92-H98,0)</f>
        <v>0</v>
      </c>
      <c r="I100" s="69" t="s">
        <v>41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7.25" customHeight="1">
      <c r="A102" s="5"/>
      <c r="B102" s="5"/>
      <c r="C102" s="70" t="s">
        <v>45</v>
      </c>
      <c r="D102" s="71">
        <v>3.73</v>
      </c>
      <c r="E102" s="72" t="s">
        <v>46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5"/>
      <c r="B103" s="5"/>
      <c r="C103" s="32"/>
      <c r="D103" s="71">
        <v>2.19</v>
      </c>
      <c r="E103" s="72" t="s">
        <v>47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30.0" customHeight="1">
      <c r="A105" s="5"/>
      <c r="B105" s="5"/>
      <c r="C105" s="73" t="s">
        <v>48</v>
      </c>
      <c r="D105" s="62"/>
      <c r="E105" s="62"/>
      <c r="F105" s="14"/>
      <c r="G105" s="74">
        <f>(H98*D102)+(H100*D103)</f>
        <v>783.3</v>
      </c>
      <c r="H105" s="12"/>
      <c r="I105" s="69" t="s">
        <v>41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75" t="s">
        <v>49</v>
      </c>
      <c r="D107" s="76"/>
      <c r="E107" s="77"/>
      <c r="F107" s="78"/>
      <c r="G107" s="76"/>
      <c r="H107" s="76"/>
      <c r="I107" s="7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79"/>
      <c r="D108" s="65"/>
      <c r="E108" s="80"/>
      <c r="F108" s="79"/>
      <c r="G108" s="65"/>
      <c r="H108" s="65"/>
      <c r="I108" s="80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3.25" customHeight="1">
      <c r="A109" s="5"/>
      <c r="B109" s="5"/>
      <c r="C109" s="81" t="s">
        <v>50</v>
      </c>
      <c r="D109" s="15"/>
      <c r="E109" s="12"/>
      <c r="F109" s="82"/>
      <c r="G109" s="15"/>
      <c r="H109" s="15"/>
      <c r="I109" s="12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6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6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6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6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6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5:D5"/>
    <mergeCell ref="B7:M7"/>
    <mergeCell ref="C9:D9"/>
    <mergeCell ref="H9:I9"/>
    <mergeCell ref="J9:M9"/>
    <mergeCell ref="C10:D10"/>
    <mergeCell ref="H10:I10"/>
    <mergeCell ref="J10:M10"/>
    <mergeCell ref="B14:M14"/>
    <mergeCell ref="B16:B17"/>
    <mergeCell ref="C16:C17"/>
    <mergeCell ref="D16:E16"/>
    <mergeCell ref="F16:G16"/>
    <mergeCell ref="H16:I16"/>
    <mergeCell ref="J16:K16"/>
    <mergeCell ref="L16:M16"/>
    <mergeCell ref="C91:G93"/>
    <mergeCell ref="I92:M92"/>
    <mergeCell ref="C94:G94"/>
    <mergeCell ref="C96:G96"/>
    <mergeCell ref="C98:G98"/>
    <mergeCell ref="C107:E108"/>
    <mergeCell ref="C109:E109"/>
    <mergeCell ref="C100:G100"/>
    <mergeCell ref="C102:C103"/>
    <mergeCell ref="E102:I102"/>
    <mergeCell ref="E103:I103"/>
    <mergeCell ref="C105:F105"/>
    <mergeCell ref="G105:H105"/>
    <mergeCell ref="F107:I108"/>
    <mergeCell ref="F109:I109"/>
  </mergeCells>
  <dataValidations>
    <dataValidation type="decimal" allowBlank="1" showInputMessage="1" showErrorMessage="1" prompt="Ugyldigt tal - Tallet på kilometertælleren skal være mellem 0 and 999.999,9" sqref="J18:K23">
      <formula1>0.0</formula1>
      <formula2>999999.9</formula2>
    </dataValidation>
  </dataValidations>
  <printOptions/>
  <pageMargins bottom="1.0" footer="0.0" header="0.0" left="0.75" right="0.75" top="1.0"/>
  <pageSetup paperSize="9" orientation="portrait"/>
  <headerFooter>
    <oddFooter>&amp;CDownload fra www.startvaekst.dk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0.25"/>
    <col customWidth="1" min="2" max="2" width="20.13"/>
    <col customWidth="1" min="3" max="3" width="22.75"/>
    <col customWidth="1" min="4" max="4" width="12.25"/>
    <col customWidth="1" min="5" max="5" width="12.38"/>
    <col customWidth="1" min="6" max="6" width="20.88"/>
    <col customWidth="1" min="7" max="7" width="11.25"/>
    <col customWidth="1" min="8" max="8" width="19.38"/>
    <col customWidth="1" min="9" max="9" width="11.63"/>
    <col customWidth="1" min="10" max="10" width="13.38"/>
    <col customWidth="1" min="11" max="11" width="14.13"/>
    <col customWidth="1" min="12" max="13" width="10.38"/>
    <col customWidth="1" min="14" max="26" width="8.75"/>
  </cols>
  <sheetData>
    <row r="1" ht="12.75" customHeight="1">
      <c r="A1" s="5"/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9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8"/>
      <c r="B9" s="10" t="s">
        <v>4</v>
      </c>
      <c r="C9" s="11" t="s">
        <v>51</v>
      </c>
      <c r="D9" s="12"/>
      <c r="E9" s="9"/>
      <c r="F9" s="9"/>
      <c r="G9" s="9"/>
      <c r="H9" s="13" t="s">
        <v>6</v>
      </c>
      <c r="I9" s="14"/>
      <c r="J9" s="11" t="s">
        <v>7</v>
      </c>
      <c r="K9" s="15"/>
      <c r="L9" s="15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8"/>
      <c r="B10" s="16" t="s">
        <v>8</v>
      </c>
      <c r="C10" s="11" t="s">
        <v>9</v>
      </c>
      <c r="D10" s="12"/>
      <c r="E10" s="9"/>
      <c r="F10" s="9"/>
      <c r="G10" s="9"/>
      <c r="H10" s="13" t="s">
        <v>10</v>
      </c>
      <c r="I10" s="14"/>
      <c r="J10" s="17" t="s">
        <v>11</v>
      </c>
      <c r="K10" s="18"/>
      <c r="L10" s="18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20" t="s">
        <v>12</v>
      </c>
      <c r="K11" s="21">
        <f>SUM(L18:L30)</f>
        <v>624</v>
      </c>
      <c r="L11" s="9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8"/>
      <c r="B12" s="9"/>
      <c r="C12" s="9"/>
      <c r="D12" s="9"/>
      <c r="E12" s="9"/>
      <c r="F12" s="9"/>
      <c r="G12" s="9"/>
      <c r="H12" s="9"/>
      <c r="I12" s="9"/>
      <c r="J12" s="20" t="s">
        <v>13</v>
      </c>
      <c r="K12" s="22" t="s">
        <v>14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8"/>
      <c r="B13" s="8"/>
      <c r="C13" s="8"/>
      <c r="D13" s="8"/>
      <c r="E13" s="5"/>
      <c r="F13" s="5"/>
      <c r="G13" s="5"/>
      <c r="H13" s="5"/>
      <c r="I13" s="5"/>
      <c r="J13" s="20" t="s">
        <v>15</v>
      </c>
      <c r="K13" s="21">
        <f>SUM(K11)*3.73</f>
        <v>2327.52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24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27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5.25" customHeight="1">
      <c r="A16" s="5"/>
      <c r="B16" s="29" t="s">
        <v>17</v>
      </c>
      <c r="C16" s="30" t="s">
        <v>18</v>
      </c>
      <c r="D16" s="31" t="s">
        <v>19</v>
      </c>
      <c r="E16" s="26"/>
      <c r="F16" s="31" t="s">
        <v>20</v>
      </c>
      <c r="G16" s="26"/>
      <c r="H16" s="31" t="s">
        <v>21</v>
      </c>
      <c r="I16" s="26"/>
      <c r="J16" s="31" t="s">
        <v>22</v>
      </c>
      <c r="K16" s="26"/>
      <c r="L16" s="31" t="s">
        <v>23</v>
      </c>
      <c r="M16" s="2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32"/>
      <c r="C17" s="32"/>
      <c r="D17" s="33" t="s">
        <v>24</v>
      </c>
      <c r="E17" s="33" t="s">
        <v>25</v>
      </c>
      <c r="F17" s="33" t="s">
        <v>26</v>
      </c>
      <c r="G17" s="33" t="s">
        <v>27</v>
      </c>
      <c r="H17" s="33" t="s">
        <v>26</v>
      </c>
      <c r="I17" s="33" t="s">
        <v>27</v>
      </c>
      <c r="J17" s="33" t="s">
        <v>28</v>
      </c>
      <c r="K17" s="33" t="s">
        <v>29</v>
      </c>
      <c r="L17" s="33" t="s">
        <v>24</v>
      </c>
      <c r="M17" s="33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5"/>
      <c r="B18" s="34">
        <v>45238.0</v>
      </c>
      <c r="C18" s="35" t="s">
        <v>52</v>
      </c>
      <c r="D18" s="36">
        <v>1.0</v>
      </c>
      <c r="E18" s="36"/>
      <c r="F18" s="3" t="s">
        <v>31</v>
      </c>
      <c r="G18" s="44">
        <v>2791.0</v>
      </c>
      <c r="H18" s="39" t="s">
        <v>32</v>
      </c>
      <c r="I18" s="40">
        <v>2750.0</v>
      </c>
      <c r="J18" s="41">
        <v>39.0</v>
      </c>
      <c r="K18" s="42">
        <v>39.0</v>
      </c>
      <c r="L18" s="43">
        <f t="shared" ref="L18:L25" si="1">SUM(J18,K18)</f>
        <v>78</v>
      </c>
      <c r="M18" s="4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5"/>
      <c r="B19" s="34">
        <v>45239.0</v>
      </c>
      <c r="C19" s="35" t="s">
        <v>52</v>
      </c>
      <c r="D19" s="36">
        <v>1.0</v>
      </c>
      <c r="E19" s="36"/>
      <c r="F19" s="3" t="s">
        <v>31</v>
      </c>
      <c r="G19" s="44">
        <v>2791.0</v>
      </c>
      <c r="H19" s="39" t="s">
        <v>32</v>
      </c>
      <c r="I19" s="40">
        <v>2750.0</v>
      </c>
      <c r="J19" s="41">
        <v>39.0</v>
      </c>
      <c r="K19" s="42">
        <v>39.0</v>
      </c>
      <c r="L19" s="43">
        <f t="shared" si="1"/>
        <v>78</v>
      </c>
      <c r="M19" s="4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34">
        <v>45245.0</v>
      </c>
      <c r="C20" s="35" t="s">
        <v>52</v>
      </c>
      <c r="D20" s="36">
        <v>1.0</v>
      </c>
      <c r="E20" s="36"/>
      <c r="F20" s="3" t="s">
        <v>31</v>
      </c>
      <c r="G20" s="44">
        <v>2791.0</v>
      </c>
      <c r="H20" s="39" t="s">
        <v>32</v>
      </c>
      <c r="I20" s="40">
        <v>2750.0</v>
      </c>
      <c r="J20" s="41">
        <v>39.0</v>
      </c>
      <c r="K20" s="42">
        <v>39.0</v>
      </c>
      <c r="L20" s="43">
        <f t="shared" si="1"/>
        <v>78</v>
      </c>
      <c r="M20" s="4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34">
        <v>45246.0</v>
      </c>
      <c r="C21" s="35" t="s">
        <v>52</v>
      </c>
      <c r="D21" s="36">
        <v>1.0</v>
      </c>
      <c r="E21" s="36"/>
      <c r="F21" s="3" t="s">
        <v>31</v>
      </c>
      <c r="G21" s="44">
        <v>2791.0</v>
      </c>
      <c r="H21" s="39" t="s">
        <v>32</v>
      </c>
      <c r="I21" s="40">
        <v>2750.0</v>
      </c>
      <c r="J21" s="41">
        <v>39.0</v>
      </c>
      <c r="K21" s="42">
        <v>39.0</v>
      </c>
      <c r="L21" s="43">
        <f t="shared" si="1"/>
        <v>78</v>
      </c>
      <c r="M21" s="4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34">
        <v>45252.0</v>
      </c>
      <c r="C22" s="35" t="s">
        <v>52</v>
      </c>
      <c r="D22" s="36">
        <v>1.0</v>
      </c>
      <c r="E22" s="36"/>
      <c r="F22" s="3" t="s">
        <v>31</v>
      </c>
      <c r="G22" s="44">
        <v>2791.0</v>
      </c>
      <c r="H22" s="39" t="s">
        <v>32</v>
      </c>
      <c r="I22" s="40">
        <v>2750.0</v>
      </c>
      <c r="J22" s="41">
        <v>39.0</v>
      </c>
      <c r="K22" s="42">
        <v>39.0</v>
      </c>
      <c r="L22" s="43">
        <f t="shared" si="1"/>
        <v>78</v>
      </c>
      <c r="M22" s="4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34">
        <v>45253.0</v>
      </c>
      <c r="C23" s="35" t="s">
        <v>52</v>
      </c>
      <c r="D23" s="36">
        <v>1.0</v>
      </c>
      <c r="E23" s="36"/>
      <c r="F23" s="3" t="s">
        <v>31</v>
      </c>
      <c r="G23" s="44">
        <v>2791.0</v>
      </c>
      <c r="H23" s="39" t="s">
        <v>32</v>
      </c>
      <c r="I23" s="40">
        <v>2750.0</v>
      </c>
      <c r="J23" s="41">
        <v>39.0</v>
      </c>
      <c r="K23" s="42">
        <v>39.0</v>
      </c>
      <c r="L23" s="43">
        <f t="shared" si="1"/>
        <v>78</v>
      </c>
      <c r="M23" s="4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34">
        <v>45259.0</v>
      </c>
      <c r="C24" s="35" t="s">
        <v>52</v>
      </c>
      <c r="D24" s="36">
        <v>1.0</v>
      </c>
      <c r="E24" s="36"/>
      <c r="F24" s="3" t="s">
        <v>31</v>
      </c>
      <c r="G24" s="44">
        <v>2791.0</v>
      </c>
      <c r="H24" s="39" t="s">
        <v>32</v>
      </c>
      <c r="I24" s="40">
        <v>2750.0</v>
      </c>
      <c r="J24" s="41">
        <v>39.0</v>
      </c>
      <c r="K24" s="42">
        <v>39.0</v>
      </c>
      <c r="L24" s="43">
        <f t="shared" si="1"/>
        <v>78</v>
      </c>
      <c r="M24" s="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34">
        <v>45260.0</v>
      </c>
      <c r="C25" s="35" t="s">
        <v>52</v>
      </c>
      <c r="D25" s="36">
        <v>1.0</v>
      </c>
      <c r="E25" s="36"/>
      <c r="F25" s="3" t="s">
        <v>31</v>
      </c>
      <c r="G25" s="44">
        <v>2791.0</v>
      </c>
      <c r="H25" s="39" t="s">
        <v>32</v>
      </c>
      <c r="I25" s="40">
        <v>2750.0</v>
      </c>
      <c r="J25" s="41">
        <v>39.0</v>
      </c>
      <c r="K25" s="42">
        <v>39.0</v>
      </c>
      <c r="L25" s="43">
        <f t="shared" si="1"/>
        <v>78</v>
      </c>
      <c r="M25" s="4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34"/>
      <c r="C26" s="35"/>
      <c r="D26" s="36"/>
      <c r="E26" s="47"/>
      <c r="G26" s="44"/>
      <c r="H26" s="39"/>
      <c r="I26" s="44"/>
      <c r="J26" s="41"/>
      <c r="K26" s="42"/>
      <c r="L26" s="43"/>
      <c r="M26" s="4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34"/>
      <c r="C27" s="35"/>
      <c r="D27" s="36"/>
      <c r="E27" s="47"/>
      <c r="G27" s="44"/>
      <c r="H27" s="39"/>
      <c r="I27" s="44"/>
      <c r="J27" s="41"/>
      <c r="K27" s="42"/>
      <c r="L27" s="43"/>
      <c r="M27" s="4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34"/>
      <c r="C28" s="35"/>
      <c r="D28" s="36"/>
      <c r="E28" s="51"/>
      <c r="G28" s="44"/>
      <c r="H28" s="39"/>
      <c r="I28" s="44"/>
      <c r="J28" s="41"/>
      <c r="K28" s="42"/>
      <c r="L28" s="43"/>
      <c r="M28" s="4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34"/>
      <c r="C29" s="35"/>
      <c r="D29" s="36"/>
      <c r="E29" s="47"/>
      <c r="G29" s="44"/>
      <c r="H29" s="39"/>
      <c r="I29" s="44"/>
      <c r="J29" s="41"/>
      <c r="K29" s="42"/>
      <c r="L29" s="43"/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34"/>
      <c r="C30" s="35"/>
      <c r="D30" s="36"/>
      <c r="E30" s="47"/>
      <c r="G30" s="44"/>
      <c r="H30" s="39"/>
      <c r="I30" s="44"/>
      <c r="J30" s="41"/>
      <c r="K30" s="42"/>
      <c r="L30" s="43"/>
      <c r="M30" s="4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34"/>
      <c r="C31" s="35"/>
      <c r="D31" s="36"/>
      <c r="E31" s="47"/>
      <c r="G31" s="44"/>
      <c r="H31" s="39"/>
      <c r="I31" s="44"/>
      <c r="J31" s="41"/>
      <c r="K31" s="42"/>
      <c r="L31" s="43"/>
      <c r="M31" s="4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34"/>
      <c r="C32" s="35"/>
      <c r="D32" s="36"/>
      <c r="E32" s="47"/>
      <c r="G32" s="44"/>
      <c r="H32" s="39"/>
      <c r="I32" s="44"/>
      <c r="J32" s="41"/>
      <c r="K32" s="42"/>
      <c r="L32" s="43"/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34"/>
      <c r="C33" s="35"/>
      <c r="D33" s="36"/>
      <c r="E33" s="47"/>
      <c r="G33" s="44"/>
      <c r="H33" s="39"/>
      <c r="I33" s="44"/>
      <c r="J33" s="41"/>
      <c r="K33" s="42"/>
      <c r="L33" s="43"/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34"/>
      <c r="C34" s="35"/>
      <c r="D34" s="36"/>
      <c r="E34" s="47"/>
      <c r="G34" s="44"/>
      <c r="H34" s="39"/>
      <c r="I34" s="44"/>
      <c r="J34" s="41"/>
      <c r="K34" s="42"/>
      <c r="L34" s="43"/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34"/>
      <c r="C35" s="35"/>
      <c r="D35" s="36"/>
      <c r="E35" s="47"/>
      <c r="G35" s="44"/>
      <c r="H35" s="39"/>
      <c r="I35" s="44"/>
      <c r="J35" s="41"/>
      <c r="K35" s="42"/>
      <c r="L35" s="43"/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34"/>
      <c r="C36" s="35"/>
      <c r="D36" s="36"/>
      <c r="E36" s="47"/>
      <c r="G36" s="44"/>
      <c r="H36" s="39"/>
      <c r="I36" s="44"/>
      <c r="J36" s="41"/>
      <c r="K36" s="42"/>
      <c r="L36" s="43"/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34"/>
      <c r="C37" s="35"/>
      <c r="D37" s="36"/>
      <c r="E37" s="47"/>
      <c r="G37" s="44"/>
      <c r="H37" s="39"/>
      <c r="I37" s="44"/>
      <c r="J37" s="41"/>
      <c r="K37" s="42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34"/>
      <c r="C38" s="35"/>
      <c r="D38" s="36"/>
      <c r="E38" s="47"/>
      <c r="G38" s="44"/>
      <c r="H38" s="39"/>
      <c r="I38" s="44"/>
      <c r="J38" s="41"/>
      <c r="K38" s="42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34"/>
      <c r="C39" s="35"/>
      <c r="D39" s="36"/>
      <c r="E39" s="47"/>
      <c r="G39" s="44"/>
      <c r="H39" s="39"/>
      <c r="I39" s="44"/>
      <c r="J39" s="41"/>
      <c r="K39" s="42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34"/>
      <c r="C40" s="35"/>
      <c r="D40" s="36"/>
      <c r="E40" s="47"/>
      <c r="G40" s="44"/>
      <c r="H40" s="39"/>
      <c r="I40" s="44"/>
      <c r="J40" s="41"/>
      <c r="K40" s="42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34"/>
      <c r="C41" s="35"/>
      <c r="D41" s="47"/>
      <c r="E41" s="47"/>
      <c r="F41" s="39"/>
      <c r="G41" s="44"/>
      <c r="H41" s="47"/>
      <c r="I41" s="44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34"/>
      <c r="C42" s="35"/>
      <c r="D42" s="47"/>
      <c r="E42" s="47"/>
      <c r="F42" s="39"/>
      <c r="G42" s="44"/>
      <c r="H42" s="47"/>
      <c r="I42" s="44"/>
      <c r="J42" s="43"/>
      <c r="K42" s="43"/>
      <c r="L42" s="43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34"/>
      <c r="C43" s="35"/>
      <c r="D43" s="47"/>
      <c r="E43" s="47"/>
      <c r="F43" s="39"/>
      <c r="G43" s="44"/>
      <c r="H43" s="47"/>
      <c r="I43" s="44"/>
      <c r="J43" s="43"/>
      <c r="K43" s="43"/>
      <c r="L43" s="43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34"/>
      <c r="C44" s="35"/>
      <c r="D44" s="47"/>
      <c r="E44" s="47"/>
      <c r="F44" s="39"/>
      <c r="G44" s="44"/>
      <c r="H44" s="47"/>
      <c r="I44" s="44"/>
      <c r="J44" s="43"/>
      <c r="K44" s="43"/>
      <c r="L44" s="43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34"/>
      <c r="C45" s="35"/>
      <c r="D45" s="47"/>
      <c r="E45" s="47"/>
      <c r="F45" s="39"/>
      <c r="G45" s="44"/>
      <c r="H45" s="47"/>
      <c r="I45" s="44"/>
      <c r="J45" s="43"/>
      <c r="K45" s="43"/>
      <c r="L45" s="43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34"/>
      <c r="C46" s="35"/>
      <c r="D46" s="47"/>
      <c r="E46" s="47"/>
      <c r="F46" s="39"/>
      <c r="G46" s="44"/>
      <c r="H46" s="47"/>
      <c r="I46" s="44"/>
      <c r="J46" s="43"/>
      <c r="K46" s="43"/>
      <c r="L46" s="43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34"/>
      <c r="C47" s="35"/>
      <c r="D47" s="47"/>
      <c r="E47" s="47"/>
      <c r="F47" s="39"/>
      <c r="G47" s="44"/>
      <c r="H47" s="47"/>
      <c r="I47" s="44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34"/>
      <c r="C48" s="35"/>
      <c r="D48" s="47"/>
      <c r="E48" s="47"/>
      <c r="F48" s="39"/>
      <c r="G48" s="44"/>
      <c r="H48" s="47"/>
      <c r="I48" s="44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34"/>
      <c r="C49" s="35"/>
      <c r="D49" s="47"/>
      <c r="E49" s="47"/>
      <c r="F49" s="39"/>
      <c r="G49" s="44"/>
      <c r="H49" s="47"/>
      <c r="I49" s="44"/>
      <c r="J49" s="43"/>
      <c r="K49" s="43"/>
      <c r="L49" s="43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34"/>
      <c r="C50" s="35"/>
      <c r="D50" s="47"/>
      <c r="E50" s="47"/>
      <c r="F50" s="39"/>
      <c r="G50" s="44"/>
      <c r="H50" s="47"/>
      <c r="I50" s="44"/>
      <c r="J50" s="43"/>
      <c r="K50" s="43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34"/>
      <c r="C51" s="35"/>
      <c r="D51" s="47"/>
      <c r="E51" s="47"/>
      <c r="F51" s="39"/>
      <c r="G51" s="44"/>
      <c r="H51" s="47"/>
      <c r="I51" s="44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34"/>
      <c r="C52" s="35"/>
      <c r="D52" s="47"/>
      <c r="E52" s="47"/>
      <c r="F52" s="39"/>
      <c r="G52" s="44"/>
      <c r="H52" s="47"/>
      <c r="I52" s="44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34"/>
      <c r="C53" s="35"/>
      <c r="D53" s="47"/>
      <c r="E53" s="47"/>
      <c r="F53" s="39"/>
      <c r="G53" s="44"/>
      <c r="H53" s="47"/>
      <c r="I53" s="44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34"/>
      <c r="C54" s="35"/>
      <c r="D54" s="47"/>
      <c r="E54" s="47"/>
      <c r="F54" s="39"/>
      <c r="G54" s="44"/>
      <c r="H54" s="47"/>
      <c r="I54" s="44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34"/>
      <c r="C55" s="35"/>
      <c r="D55" s="47"/>
      <c r="E55" s="47"/>
      <c r="F55" s="39"/>
      <c r="G55" s="44"/>
      <c r="H55" s="47"/>
      <c r="I55" s="44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34"/>
      <c r="C56" s="35"/>
      <c r="D56" s="47"/>
      <c r="E56" s="47"/>
      <c r="F56" s="39"/>
      <c r="G56" s="44"/>
      <c r="H56" s="47"/>
      <c r="I56" s="44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34"/>
      <c r="C57" s="35"/>
      <c r="D57" s="47"/>
      <c r="E57" s="47"/>
      <c r="F57" s="39"/>
      <c r="G57" s="44"/>
      <c r="H57" s="47"/>
      <c r="I57" s="44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34"/>
      <c r="C58" s="53"/>
      <c r="D58" s="54"/>
      <c r="E58" s="54"/>
      <c r="F58" s="39"/>
      <c r="G58" s="44"/>
      <c r="H58" s="54"/>
      <c r="I58" s="44"/>
      <c r="J58" s="55"/>
      <c r="K58" s="55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34"/>
      <c r="C59" s="35"/>
      <c r="D59" s="47"/>
      <c r="E59" s="47"/>
      <c r="F59" s="39"/>
      <c r="G59" s="44"/>
      <c r="H59" s="47"/>
      <c r="I59" s="44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34"/>
      <c r="C60" s="35"/>
      <c r="D60" s="47"/>
      <c r="E60" s="47"/>
      <c r="F60" s="39"/>
      <c r="G60" s="44"/>
      <c r="H60" s="47"/>
      <c r="I60" s="44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34"/>
      <c r="C61" s="35"/>
      <c r="D61" s="47"/>
      <c r="E61" s="47"/>
      <c r="F61" s="39"/>
      <c r="G61" s="44"/>
      <c r="H61" s="47"/>
      <c r="I61" s="44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34"/>
      <c r="C62" s="35"/>
      <c r="D62" s="47"/>
      <c r="E62" s="47"/>
      <c r="F62" s="39"/>
      <c r="G62" s="44"/>
      <c r="H62" s="47"/>
      <c r="I62" s="44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34"/>
      <c r="C63" s="35"/>
      <c r="D63" s="47"/>
      <c r="E63" s="47"/>
      <c r="F63" s="39"/>
      <c r="G63" s="44"/>
      <c r="H63" s="47"/>
      <c r="I63" s="44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34"/>
      <c r="C64" s="35"/>
      <c r="D64" s="47"/>
      <c r="E64" s="47"/>
      <c r="F64" s="39"/>
      <c r="G64" s="44"/>
      <c r="H64" s="47"/>
      <c r="I64" s="44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34"/>
      <c r="C65" s="35"/>
      <c r="D65" s="47"/>
      <c r="E65" s="47"/>
      <c r="F65" s="39"/>
      <c r="G65" s="44"/>
      <c r="H65" s="47"/>
      <c r="I65" s="44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34"/>
      <c r="C66" s="35"/>
      <c r="D66" s="47"/>
      <c r="E66" s="47"/>
      <c r="F66" s="39"/>
      <c r="G66" s="44"/>
      <c r="H66" s="47"/>
      <c r="I66" s="44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34"/>
      <c r="C67" s="35"/>
      <c r="D67" s="47"/>
      <c r="E67" s="47"/>
      <c r="F67" s="39"/>
      <c r="G67" s="44"/>
      <c r="H67" s="47"/>
      <c r="I67" s="44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34"/>
      <c r="C68" s="35"/>
      <c r="D68" s="47"/>
      <c r="E68" s="47"/>
      <c r="F68" s="39"/>
      <c r="G68" s="44"/>
      <c r="H68" s="47"/>
      <c r="I68" s="44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34"/>
      <c r="C69" s="35"/>
      <c r="D69" s="47"/>
      <c r="E69" s="47"/>
      <c r="F69" s="39"/>
      <c r="G69" s="44"/>
      <c r="H69" s="47"/>
      <c r="I69" s="44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34"/>
      <c r="C70" s="35"/>
      <c r="D70" s="47"/>
      <c r="E70" s="47"/>
      <c r="F70" s="39"/>
      <c r="G70" s="44"/>
      <c r="H70" s="47"/>
      <c r="I70" s="44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34"/>
      <c r="C71" s="35"/>
      <c r="D71" s="47"/>
      <c r="E71" s="47"/>
      <c r="F71" s="39"/>
      <c r="G71" s="44"/>
      <c r="H71" s="47"/>
      <c r="I71" s="44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34"/>
      <c r="C72" s="35"/>
      <c r="D72" s="47"/>
      <c r="E72" s="47"/>
      <c r="F72" s="39"/>
      <c r="G72" s="44"/>
      <c r="H72" s="47"/>
      <c r="I72" s="44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34"/>
      <c r="C73" s="35"/>
      <c r="D73" s="47"/>
      <c r="E73" s="47"/>
      <c r="F73" s="39"/>
      <c r="G73" s="44"/>
      <c r="H73" s="47"/>
      <c r="I73" s="44"/>
      <c r="J73" s="43"/>
      <c r="K73" s="43"/>
      <c r="L73" s="43"/>
      <c r="M73" s="4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34"/>
      <c r="C74" s="35"/>
      <c r="D74" s="47"/>
      <c r="E74" s="47"/>
      <c r="F74" s="39"/>
      <c r="G74" s="44"/>
      <c r="H74" s="47"/>
      <c r="I74" s="44"/>
      <c r="J74" s="43"/>
      <c r="K74" s="43"/>
      <c r="L74" s="43"/>
      <c r="M74" s="4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34"/>
      <c r="C75" s="35"/>
      <c r="D75" s="47"/>
      <c r="E75" s="47"/>
      <c r="F75" s="39"/>
      <c r="G75" s="44"/>
      <c r="H75" s="47"/>
      <c r="I75" s="44"/>
      <c r="J75" s="43"/>
      <c r="K75" s="43"/>
      <c r="L75" s="43"/>
      <c r="M75" s="43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34"/>
      <c r="C76" s="35"/>
      <c r="D76" s="47"/>
      <c r="E76" s="47"/>
      <c r="F76" s="39"/>
      <c r="G76" s="44"/>
      <c r="H76" s="47"/>
      <c r="I76" s="44"/>
      <c r="J76" s="43"/>
      <c r="K76" s="43"/>
      <c r="L76" s="43"/>
      <c r="M76" s="43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34"/>
      <c r="C77" s="35"/>
      <c r="D77" s="47"/>
      <c r="E77" s="47"/>
      <c r="F77" s="39"/>
      <c r="G77" s="44"/>
      <c r="H77" s="47"/>
      <c r="I77" s="44"/>
      <c r="J77" s="43"/>
      <c r="K77" s="43"/>
      <c r="L77" s="43"/>
      <c r="M77" s="43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34"/>
      <c r="C78" s="35"/>
      <c r="D78" s="47"/>
      <c r="E78" s="47"/>
      <c r="F78" s="39"/>
      <c r="G78" s="44"/>
      <c r="H78" s="47"/>
      <c r="I78" s="44"/>
      <c r="J78" s="43"/>
      <c r="K78" s="43"/>
      <c r="L78" s="43"/>
      <c r="M78" s="43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34"/>
      <c r="C79" s="35"/>
      <c r="D79" s="47"/>
      <c r="E79" s="47"/>
      <c r="F79" s="39"/>
      <c r="G79" s="44"/>
      <c r="H79" s="47"/>
      <c r="I79" s="44"/>
      <c r="J79" s="43"/>
      <c r="K79" s="43"/>
      <c r="L79" s="43"/>
      <c r="M79" s="4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34"/>
      <c r="C80" s="35"/>
      <c r="D80" s="47"/>
      <c r="E80" s="47"/>
      <c r="F80" s="39"/>
      <c r="G80" s="44"/>
      <c r="H80" s="47"/>
      <c r="I80" s="44"/>
      <c r="J80" s="43"/>
      <c r="K80" s="43"/>
      <c r="L80" s="43"/>
      <c r="M80" s="43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34"/>
      <c r="C81" s="35"/>
      <c r="D81" s="47"/>
      <c r="E81" s="47"/>
      <c r="F81" s="39"/>
      <c r="G81" s="44"/>
      <c r="H81" s="47"/>
      <c r="I81" s="44"/>
      <c r="J81" s="43"/>
      <c r="K81" s="43"/>
      <c r="L81" s="43"/>
      <c r="M81" s="43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34"/>
      <c r="C82" s="35"/>
      <c r="D82" s="47"/>
      <c r="E82" s="47"/>
      <c r="F82" s="39"/>
      <c r="G82" s="44"/>
      <c r="H82" s="47"/>
      <c r="I82" s="44"/>
      <c r="J82" s="43"/>
      <c r="K82" s="43"/>
      <c r="L82" s="43"/>
      <c r="M82" s="43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34"/>
      <c r="C83" s="35"/>
      <c r="D83" s="47"/>
      <c r="E83" s="47"/>
      <c r="F83" s="39"/>
      <c r="G83" s="44"/>
      <c r="H83" s="47"/>
      <c r="I83" s="44"/>
      <c r="J83" s="43"/>
      <c r="K83" s="43"/>
      <c r="L83" s="43"/>
      <c r="M83" s="43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34"/>
      <c r="C84" s="35"/>
      <c r="D84" s="47"/>
      <c r="E84" s="47"/>
      <c r="F84" s="39"/>
      <c r="G84" s="44"/>
      <c r="H84" s="47"/>
      <c r="I84" s="44"/>
      <c r="J84" s="43"/>
      <c r="K84" s="43"/>
      <c r="L84" s="43"/>
      <c r="M84" s="43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34"/>
      <c r="C85" s="35"/>
      <c r="D85" s="47"/>
      <c r="E85" s="47"/>
      <c r="F85" s="39"/>
      <c r="G85" s="44"/>
      <c r="H85" s="47"/>
      <c r="I85" s="44"/>
      <c r="J85" s="43"/>
      <c r="K85" s="43"/>
      <c r="L85" s="43"/>
      <c r="M85" s="43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34"/>
      <c r="C86" s="35"/>
      <c r="D86" s="47"/>
      <c r="E86" s="47"/>
      <c r="F86" s="39"/>
      <c r="G86" s="44"/>
      <c r="H86" s="47"/>
      <c r="I86" s="44"/>
      <c r="J86" s="43"/>
      <c r="K86" s="43"/>
      <c r="L86" s="43"/>
      <c r="M86" s="43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34"/>
      <c r="C87" s="35"/>
      <c r="D87" s="47"/>
      <c r="E87" s="47"/>
      <c r="F87" s="39"/>
      <c r="G87" s="44"/>
      <c r="H87" s="47"/>
      <c r="I87" s="44"/>
      <c r="J87" s="43"/>
      <c r="K87" s="43"/>
      <c r="L87" s="43"/>
      <c r="M87" s="43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34"/>
      <c r="C88" s="35"/>
      <c r="D88" s="47"/>
      <c r="E88" s="47"/>
      <c r="F88" s="39"/>
      <c r="G88" s="44"/>
      <c r="H88" s="47"/>
      <c r="I88" s="44"/>
      <c r="J88" s="43"/>
      <c r="K88" s="43"/>
      <c r="L88" s="43">
        <f t="shared" ref="L88:L89" si="2">(K88-J88)*D88</f>
        <v>0</v>
      </c>
      <c r="M88" s="43">
        <f t="shared" ref="M88:M89" si="3">(K88-J88)*E88</f>
        <v>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34"/>
      <c r="C89" s="35"/>
      <c r="D89" s="47"/>
      <c r="E89" s="47"/>
      <c r="F89" s="39"/>
      <c r="G89" s="44"/>
      <c r="H89" s="47"/>
      <c r="I89" s="44"/>
      <c r="J89" s="43"/>
      <c r="K89" s="43"/>
      <c r="L89" s="43">
        <f t="shared" si="2"/>
        <v>0</v>
      </c>
      <c r="M89" s="43">
        <f t="shared" si="3"/>
        <v>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6" t="s">
        <v>38</v>
      </c>
      <c r="D91" s="57"/>
      <c r="E91" s="57"/>
      <c r="F91" s="57"/>
      <c r="G91" s="5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9"/>
      <c r="G92" s="60"/>
      <c r="H92" s="43">
        <v>0.0</v>
      </c>
      <c r="I92" s="61" t="s">
        <v>39</v>
      </c>
      <c r="J92" s="62"/>
      <c r="K92" s="62"/>
      <c r="L92" s="62"/>
      <c r="M92" s="63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64"/>
      <c r="D93" s="65"/>
      <c r="E93" s="65"/>
      <c r="F93" s="65"/>
      <c r="G93" s="66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5"/>
      <c r="B94" s="5"/>
      <c r="C94" s="67" t="s">
        <v>40</v>
      </c>
      <c r="D94" s="62"/>
      <c r="E94" s="62"/>
      <c r="F94" s="62"/>
      <c r="G94" s="14"/>
      <c r="H94" s="68">
        <f>SUM(L18:L89)</f>
        <v>624</v>
      </c>
      <c r="I94" s="69" t="s">
        <v>41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9.5" customHeight="1">
      <c r="A96" s="5"/>
      <c r="B96" s="5"/>
      <c r="C96" s="67" t="s">
        <v>42</v>
      </c>
      <c r="D96" s="62"/>
      <c r="E96" s="62"/>
      <c r="F96" s="62"/>
      <c r="G96" s="63"/>
      <c r="H96" s="68">
        <f>H92+H94</f>
        <v>624</v>
      </c>
      <c r="I96" s="69" t="s">
        <v>41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75" customHeight="1">
      <c r="A98" s="5"/>
      <c r="B98" s="5"/>
      <c r="C98" s="67" t="s">
        <v>43</v>
      </c>
      <c r="D98" s="62"/>
      <c r="E98" s="62"/>
      <c r="F98" s="62"/>
      <c r="G98" s="63"/>
      <c r="H98" s="68">
        <f>IF(H96&lt;=20000,H94,IF(H92&gt;20000,0,20000-H92))</f>
        <v>624</v>
      </c>
      <c r="I98" s="69" t="s">
        <v>41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5"/>
      <c r="B100" s="5"/>
      <c r="C100" s="67" t="s">
        <v>44</v>
      </c>
      <c r="D100" s="62"/>
      <c r="E100" s="62"/>
      <c r="F100" s="62"/>
      <c r="G100" s="14"/>
      <c r="H100" s="68">
        <f>IF(H96&gt;20000,H96-H92-H98,0)</f>
        <v>0</v>
      </c>
      <c r="I100" s="69" t="s">
        <v>41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7.25" customHeight="1">
      <c r="A102" s="5"/>
      <c r="B102" s="5"/>
      <c r="C102" s="70" t="s">
        <v>45</v>
      </c>
      <c r="D102" s="71">
        <v>3.73</v>
      </c>
      <c r="E102" s="72" t="s">
        <v>46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5"/>
      <c r="B103" s="5"/>
      <c r="C103" s="32"/>
      <c r="D103" s="71">
        <v>2.19</v>
      </c>
      <c r="E103" s="72" t="s">
        <v>47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30.0" customHeight="1">
      <c r="A105" s="5"/>
      <c r="B105" s="5"/>
      <c r="C105" s="73" t="s">
        <v>48</v>
      </c>
      <c r="D105" s="62"/>
      <c r="E105" s="62"/>
      <c r="F105" s="14"/>
      <c r="G105" s="74">
        <f>(H98*D102)+(H100*D103)</f>
        <v>2327.52</v>
      </c>
      <c r="H105" s="12"/>
      <c r="I105" s="69" t="s">
        <v>41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75" t="s">
        <v>49</v>
      </c>
      <c r="D107" s="76"/>
      <c r="E107" s="77"/>
      <c r="F107" s="78"/>
      <c r="G107" s="76"/>
      <c r="H107" s="76"/>
      <c r="I107" s="7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79"/>
      <c r="D108" s="65"/>
      <c r="E108" s="80"/>
      <c r="F108" s="79"/>
      <c r="G108" s="65"/>
      <c r="H108" s="65"/>
      <c r="I108" s="80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3.25" customHeight="1">
      <c r="A109" s="5"/>
      <c r="B109" s="5"/>
      <c r="C109" s="81" t="s">
        <v>50</v>
      </c>
      <c r="D109" s="15"/>
      <c r="E109" s="12"/>
      <c r="F109" s="82"/>
      <c r="G109" s="15"/>
      <c r="H109" s="15"/>
      <c r="I109" s="12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6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6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6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6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6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5:D5"/>
    <mergeCell ref="B7:M7"/>
    <mergeCell ref="C9:D9"/>
    <mergeCell ref="H9:I9"/>
    <mergeCell ref="J9:M9"/>
    <mergeCell ref="C10:D10"/>
    <mergeCell ref="H10:I10"/>
    <mergeCell ref="J10:M10"/>
    <mergeCell ref="B14:M14"/>
    <mergeCell ref="B16:B17"/>
    <mergeCell ref="C16:C17"/>
    <mergeCell ref="D16:E16"/>
    <mergeCell ref="F16:G16"/>
    <mergeCell ref="H16:I16"/>
    <mergeCell ref="J16:K16"/>
    <mergeCell ref="L16:M16"/>
    <mergeCell ref="C91:G93"/>
    <mergeCell ref="I92:M92"/>
    <mergeCell ref="C94:G94"/>
    <mergeCell ref="C96:G96"/>
    <mergeCell ref="C98:G98"/>
    <mergeCell ref="C107:E108"/>
    <mergeCell ref="C109:E109"/>
    <mergeCell ref="C100:G100"/>
    <mergeCell ref="C102:C103"/>
    <mergeCell ref="E102:I102"/>
    <mergeCell ref="E103:I103"/>
    <mergeCell ref="C105:F105"/>
    <mergeCell ref="G105:H105"/>
    <mergeCell ref="F107:I108"/>
    <mergeCell ref="F109:I109"/>
  </mergeCells>
  <dataValidations>
    <dataValidation type="decimal" allowBlank="1" showInputMessage="1" showErrorMessage="1" prompt="Ugyldigt tal - Tallet på kilometertælleren skal være mellem 0 and 999.999,9" sqref="J18:K40">
      <formula1>0.0</formula1>
      <formula2>999999.9</formula2>
    </dataValidation>
  </dataValidations>
  <printOptions/>
  <pageMargins bottom="1.0" footer="0.0" header="0.0" left="0.75" right="0.75" top="1.0"/>
  <pageSetup paperSize="9" orientation="portrait"/>
  <headerFooter>
    <oddFooter>&amp;CDownload fra www.startvaekst.dk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0.13"/>
    <col customWidth="1" min="3" max="3" width="22.75"/>
    <col customWidth="1" min="4" max="4" width="12.25"/>
    <col customWidth="1" min="5" max="5" width="12.38"/>
    <col customWidth="1" min="6" max="6" width="20.88"/>
    <col customWidth="1" min="7" max="7" width="11.25"/>
    <col customWidth="1" min="8" max="8" width="19.38"/>
    <col customWidth="1" min="9" max="9" width="11.63"/>
    <col customWidth="1" min="10" max="10" width="13.38"/>
    <col customWidth="1" min="11" max="11" width="14.13"/>
    <col customWidth="1" min="12" max="13" width="10.38"/>
    <col customWidth="1" min="14" max="26" width="8.75"/>
  </cols>
  <sheetData>
    <row r="1" ht="12.75" customHeight="1">
      <c r="A1" s="5"/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9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8"/>
      <c r="B9" s="10" t="s">
        <v>4</v>
      </c>
      <c r="C9" s="83">
        <v>45261.0</v>
      </c>
      <c r="D9" s="12"/>
      <c r="E9" s="9"/>
      <c r="F9" s="9"/>
      <c r="G9" s="9"/>
      <c r="H9" s="13" t="s">
        <v>6</v>
      </c>
      <c r="I9" s="14"/>
      <c r="J9" s="11" t="s">
        <v>7</v>
      </c>
      <c r="K9" s="15"/>
      <c r="L9" s="15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8"/>
      <c r="B10" s="16" t="s">
        <v>8</v>
      </c>
      <c r="C10" s="11" t="s">
        <v>9</v>
      </c>
      <c r="D10" s="12"/>
      <c r="E10" s="9"/>
      <c r="F10" s="9"/>
      <c r="G10" s="9"/>
      <c r="H10" s="13" t="s">
        <v>10</v>
      </c>
      <c r="I10" s="14"/>
      <c r="J10" s="17" t="s">
        <v>11</v>
      </c>
      <c r="K10" s="18"/>
      <c r="L10" s="18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20" t="s">
        <v>12</v>
      </c>
      <c r="K11" s="21">
        <f>SUM(L18:L22)</f>
        <v>390</v>
      </c>
      <c r="L11" s="9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8"/>
      <c r="B12" s="9"/>
      <c r="C12" s="9"/>
      <c r="D12" s="9"/>
      <c r="E12" s="9"/>
      <c r="F12" s="9"/>
      <c r="G12" s="9"/>
      <c r="H12" s="9"/>
      <c r="I12" s="9"/>
      <c r="J12" s="20" t="s">
        <v>13</v>
      </c>
      <c r="K12" s="22" t="s">
        <v>14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8"/>
      <c r="B13" s="8"/>
      <c r="C13" s="8"/>
      <c r="D13" s="8"/>
      <c r="E13" s="5"/>
      <c r="F13" s="5"/>
      <c r="G13" s="5"/>
      <c r="H13" s="5"/>
      <c r="I13" s="5"/>
      <c r="J13" s="20" t="s">
        <v>15</v>
      </c>
      <c r="K13" s="21">
        <f>SUM(K11)*3.73</f>
        <v>1454.7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24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27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5.25" customHeight="1">
      <c r="A16" s="5"/>
      <c r="B16" s="29" t="s">
        <v>17</v>
      </c>
      <c r="C16" s="30" t="s">
        <v>18</v>
      </c>
      <c r="D16" s="31" t="s">
        <v>19</v>
      </c>
      <c r="E16" s="26"/>
      <c r="F16" s="31" t="s">
        <v>20</v>
      </c>
      <c r="G16" s="26"/>
      <c r="H16" s="31" t="s">
        <v>21</v>
      </c>
      <c r="I16" s="26"/>
      <c r="J16" s="31" t="s">
        <v>22</v>
      </c>
      <c r="K16" s="26"/>
      <c r="L16" s="31" t="s">
        <v>23</v>
      </c>
      <c r="M16" s="2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32"/>
      <c r="C17" s="32"/>
      <c r="D17" s="84" t="s">
        <v>24</v>
      </c>
      <c r="E17" s="84" t="s">
        <v>25</v>
      </c>
      <c r="F17" s="84" t="s">
        <v>26</v>
      </c>
      <c r="G17" s="84" t="s">
        <v>27</v>
      </c>
      <c r="H17" s="84" t="s">
        <v>26</v>
      </c>
      <c r="I17" s="84" t="s">
        <v>27</v>
      </c>
      <c r="J17" s="84" t="s">
        <v>28</v>
      </c>
      <c r="K17" s="84" t="s">
        <v>29</v>
      </c>
      <c r="L17" s="84" t="s">
        <v>24</v>
      </c>
      <c r="M17" s="33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85"/>
      <c r="B18" s="34">
        <v>45266.0</v>
      </c>
      <c r="C18" s="35" t="s">
        <v>52</v>
      </c>
      <c r="D18" s="36">
        <v>1.0</v>
      </c>
      <c r="E18" s="47"/>
      <c r="F18" s="86" t="s">
        <v>31</v>
      </c>
      <c r="G18" s="44">
        <v>2791.0</v>
      </c>
      <c r="H18" s="39" t="s">
        <v>32</v>
      </c>
      <c r="I18" s="40">
        <v>2750.0</v>
      </c>
      <c r="J18" s="48">
        <v>39.0</v>
      </c>
      <c r="K18" s="46">
        <v>39.0</v>
      </c>
      <c r="L18" s="43">
        <f t="shared" ref="L18:L23" si="1">SUM(J18,K18)</f>
        <v>78</v>
      </c>
      <c r="M18" s="4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85"/>
      <c r="B19" s="34">
        <v>45267.0</v>
      </c>
      <c r="C19" s="35" t="s">
        <v>52</v>
      </c>
      <c r="D19" s="36">
        <v>1.0</v>
      </c>
      <c r="E19" s="47"/>
      <c r="F19" s="86" t="s">
        <v>31</v>
      </c>
      <c r="G19" s="44">
        <v>2791.0</v>
      </c>
      <c r="H19" s="39" t="s">
        <v>32</v>
      </c>
      <c r="I19" s="40">
        <v>2750.0</v>
      </c>
      <c r="J19" s="48">
        <v>39.0</v>
      </c>
      <c r="K19" s="46">
        <v>39.0</v>
      </c>
      <c r="L19" s="43">
        <f t="shared" si="1"/>
        <v>78</v>
      </c>
      <c r="M19" s="4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85"/>
      <c r="B20" s="34">
        <v>45273.0</v>
      </c>
      <c r="C20" s="35" t="s">
        <v>52</v>
      </c>
      <c r="D20" s="36">
        <v>1.0</v>
      </c>
      <c r="E20" s="47"/>
      <c r="F20" s="86" t="s">
        <v>31</v>
      </c>
      <c r="G20" s="44">
        <v>2791.0</v>
      </c>
      <c r="H20" s="39" t="s">
        <v>32</v>
      </c>
      <c r="I20" s="40">
        <v>2750.0</v>
      </c>
      <c r="J20" s="48">
        <v>39.0</v>
      </c>
      <c r="K20" s="46">
        <v>39.0</v>
      </c>
      <c r="L20" s="43">
        <f t="shared" si="1"/>
        <v>78</v>
      </c>
      <c r="M20" s="4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85"/>
      <c r="B21" s="34">
        <v>45274.0</v>
      </c>
      <c r="C21" s="35" t="s">
        <v>52</v>
      </c>
      <c r="D21" s="36">
        <v>1.0</v>
      </c>
      <c r="E21" s="47"/>
      <c r="F21" s="86" t="s">
        <v>31</v>
      </c>
      <c r="G21" s="44">
        <v>2791.0</v>
      </c>
      <c r="H21" s="39" t="s">
        <v>32</v>
      </c>
      <c r="I21" s="40">
        <v>2750.0</v>
      </c>
      <c r="J21" s="48">
        <v>39.0</v>
      </c>
      <c r="K21" s="46">
        <v>39.0</v>
      </c>
      <c r="L21" s="43">
        <f t="shared" si="1"/>
        <v>78</v>
      </c>
      <c r="M21" s="4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85"/>
      <c r="B22" s="34">
        <v>45280.0</v>
      </c>
      <c r="C22" s="35" t="s">
        <v>52</v>
      </c>
      <c r="D22" s="36">
        <v>1.0</v>
      </c>
      <c r="E22" s="47"/>
      <c r="F22" s="86" t="s">
        <v>31</v>
      </c>
      <c r="G22" s="44">
        <v>2791.0</v>
      </c>
      <c r="H22" s="39" t="s">
        <v>32</v>
      </c>
      <c r="I22" s="40">
        <v>2750.0</v>
      </c>
      <c r="J22" s="48">
        <v>39.0</v>
      </c>
      <c r="K22" s="46">
        <v>39.0</v>
      </c>
      <c r="L22" s="43">
        <f t="shared" si="1"/>
        <v>78</v>
      </c>
      <c r="M22" s="4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85"/>
      <c r="B23" s="34">
        <v>45281.0</v>
      </c>
      <c r="C23" s="35" t="s">
        <v>52</v>
      </c>
      <c r="D23" s="36">
        <v>1.0</v>
      </c>
      <c r="E23" s="47"/>
      <c r="F23" s="86" t="s">
        <v>31</v>
      </c>
      <c r="G23" s="44">
        <v>2791.0</v>
      </c>
      <c r="H23" s="39" t="s">
        <v>32</v>
      </c>
      <c r="I23" s="40">
        <v>2750.0</v>
      </c>
      <c r="J23" s="48">
        <v>39.0</v>
      </c>
      <c r="K23" s="46">
        <v>39.0</v>
      </c>
      <c r="L23" s="43">
        <f t="shared" si="1"/>
        <v>78</v>
      </c>
      <c r="M23" s="4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34"/>
      <c r="C24" s="35"/>
      <c r="D24" s="36"/>
      <c r="E24" s="47"/>
      <c r="G24" s="44"/>
      <c r="H24" s="39"/>
      <c r="I24" s="44"/>
      <c r="J24" s="87"/>
      <c r="K24" s="42"/>
      <c r="L24" s="43"/>
      <c r="M24" s="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34"/>
      <c r="C25" s="35"/>
      <c r="D25" s="36"/>
      <c r="E25" s="47"/>
      <c r="G25" s="44"/>
      <c r="H25" s="39"/>
      <c r="I25" s="44"/>
      <c r="J25" s="41"/>
      <c r="K25" s="42"/>
      <c r="L25" s="43"/>
      <c r="M25" s="4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34"/>
      <c r="C26" s="35"/>
      <c r="D26" s="36"/>
      <c r="E26" s="47"/>
      <c r="G26" s="44"/>
      <c r="H26" s="39"/>
      <c r="I26" s="44"/>
      <c r="J26" s="41"/>
      <c r="K26" s="42"/>
      <c r="L26" s="43"/>
      <c r="M26" s="4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34"/>
      <c r="C27" s="35"/>
      <c r="D27" s="36"/>
      <c r="E27" s="47"/>
      <c r="G27" s="44"/>
      <c r="H27" s="39"/>
      <c r="I27" s="44"/>
      <c r="J27" s="41"/>
      <c r="K27" s="42"/>
      <c r="L27" s="43"/>
      <c r="M27" s="4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34"/>
      <c r="C28" s="35"/>
      <c r="D28" s="36"/>
      <c r="E28" s="47"/>
      <c r="G28" s="44"/>
      <c r="H28" s="39"/>
      <c r="I28" s="44"/>
      <c r="J28" s="41"/>
      <c r="K28" s="42"/>
      <c r="L28" s="43"/>
      <c r="M28" s="4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34"/>
      <c r="C29" s="35"/>
      <c r="D29" s="36"/>
      <c r="E29" s="47"/>
      <c r="G29" s="44"/>
      <c r="H29" s="39"/>
      <c r="I29" s="44"/>
      <c r="J29" s="41"/>
      <c r="K29" s="42"/>
      <c r="L29" s="43"/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34"/>
      <c r="C30" s="35"/>
      <c r="D30" s="36"/>
      <c r="E30" s="47"/>
      <c r="G30" s="44"/>
      <c r="H30" s="39"/>
      <c r="I30" s="44"/>
      <c r="J30" s="41"/>
      <c r="K30" s="42"/>
      <c r="L30" s="43"/>
      <c r="M30" s="4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34"/>
      <c r="C31" s="35"/>
      <c r="D31" s="36"/>
      <c r="E31" s="47"/>
      <c r="G31" s="44"/>
      <c r="H31" s="39"/>
      <c r="I31" s="44"/>
      <c r="J31" s="41"/>
      <c r="K31" s="42"/>
      <c r="L31" s="43"/>
      <c r="M31" s="4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34"/>
      <c r="C32" s="35"/>
      <c r="D32" s="36"/>
      <c r="E32" s="47"/>
      <c r="G32" s="44"/>
      <c r="H32" s="39"/>
      <c r="I32" s="44"/>
      <c r="J32" s="41"/>
      <c r="K32" s="42"/>
      <c r="L32" s="43"/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34"/>
      <c r="C33" s="35"/>
      <c r="D33" s="47"/>
      <c r="E33" s="47"/>
      <c r="F33" s="39"/>
      <c r="G33" s="44"/>
      <c r="H33" s="47"/>
      <c r="I33" s="44"/>
      <c r="J33" s="43"/>
      <c r="K33" s="43"/>
      <c r="L33" s="43"/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34"/>
      <c r="C34" s="35"/>
      <c r="D34" s="47"/>
      <c r="E34" s="47"/>
      <c r="F34" s="39"/>
      <c r="G34" s="44"/>
      <c r="H34" s="47"/>
      <c r="I34" s="44"/>
      <c r="J34" s="43"/>
      <c r="K34" s="43"/>
      <c r="L34" s="43"/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34"/>
      <c r="C35" s="35"/>
      <c r="D35" s="47"/>
      <c r="E35" s="47"/>
      <c r="F35" s="39"/>
      <c r="G35" s="44"/>
      <c r="H35" s="47"/>
      <c r="I35" s="44"/>
      <c r="J35" s="43"/>
      <c r="K35" s="43"/>
      <c r="L35" s="43"/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34"/>
      <c r="C36" s="35"/>
      <c r="D36" s="47"/>
      <c r="E36" s="47"/>
      <c r="F36" s="39"/>
      <c r="G36" s="44"/>
      <c r="H36" s="47"/>
      <c r="I36" s="44"/>
      <c r="J36" s="43"/>
      <c r="K36" s="43"/>
      <c r="L36" s="43"/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34"/>
      <c r="C37" s="35"/>
      <c r="D37" s="47"/>
      <c r="E37" s="47"/>
      <c r="F37" s="39"/>
      <c r="G37" s="44"/>
      <c r="H37" s="47"/>
      <c r="I37" s="44"/>
      <c r="J37" s="43"/>
      <c r="K37" s="43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34"/>
      <c r="C38" s="35"/>
      <c r="D38" s="47"/>
      <c r="E38" s="47"/>
      <c r="F38" s="39"/>
      <c r="G38" s="44"/>
      <c r="H38" s="47"/>
      <c r="I38" s="44"/>
      <c r="J38" s="43"/>
      <c r="K38" s="43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34"/>
      <c r="C39" s="35"/>
      <c r="D39" s="47"/>
      <c r="E39" s="47"/>
      <c r="F39" s="39"/>
      <c r="G39" s="44"/>
      <c r="H39" s="47"/>
      <c r="I39" s="44"/>
      <c r="J39" s="43"/>
      <c r="K39" s="43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34"/>
      <c r="C40" s="35"/>
      <c r="D40" s="47"/>
      <c r="E40" s="47"/>
      <c r="F40" s="39"/>
      <c r="G40" s="44"/>
      <c r="H40" s="47"/>
      <c r="I40" s="44"/>
      <c r="J40" s="43"/>
      <c r="K40" s="43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34"/>
      <c r="C41" s="35"/>
      <c r="D41" s="47"/>
      <c r="E41" s="47"/>
      <c r="F41" s="39"/>
      <c r="G41" s="44"/>
      <c r="H41" s="47"/>
      <c r="I41" s="44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34"/>
      <c r="C42" s="35"/>
      <c r="D42" s="47"/>
      <c r="E42" s="47"/>
      <c r="F42" s="39"/>
      <c r="G42" s="44"/>
      <c r="H42" s="47"/>
      <c r="I42" s="44"/>
      <c r="J42" s="43"/>
      <c r="K42" s="43"/>
      <c r="L42" s="43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34"/>
      <c r="C43" s="35"/>
      <c r="D43" s="47"/>
      <c r="E43" s="47"/>
      <c r="F43" s="39"/>
      <c r="G43" s="44"/>
      <c r="H43" s="47"/>
      <c r="I43" s="44"/>
      <c r="J43" s="43"/>
      <c r="K43" s="43"/>
      <c r="L43" s="43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34"/>
      <c r="C44" s="35"/>
      <c r="D44" s="47"/>
      <c r="E44" s="47"/>
      <c r="F44" s="39"/>
      <c r="G44" s="44"/>
      <c r="H44" s="47"/>
      <c r="I44" s="44"/>
      <c r="J44" s="43"/>
      <c r="K44" s="43"/>
      <c r="L44" s="43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34"/>
      <c r="C45" s="35"/>
      <c r="D45" s="47"/>
      <c r="E45" s="47"/>
      <c r="F45" s="39"/>
      <c r="G45" s="44"/>
      <c r="H45" s="47"/>
      <c r="I45" s="44"/>
      <c r="J45" s="43"/>
      <c r="K45" s="43"/>
      <c r="L45" s="43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34"/>
      <c r="C46" s="35"/>
      <c r="D46" s="47"/>
      <c r="E46" s="47"/>
      <c r="F46" s="39"/>
      <c r="G46" s="44"/>
      <c r="H46" s="47"/>
      <c r="I46" s="44"/>
      <c r="J46" s="43"/>
      <c r="K46" s="43"/>
      <c r="L46" s="43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34"/>
      <c r="C47" s="35"/>
      <c r="D47" s="47"/>
      <c r="E47" s="47"/>
      <c r="F47" s="39"/>
      <c r="G47" s="44"/>
      <c r="H47" s="47"/>
      <c r="I47" s="44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34"/>
      <c r="C48" s="35"/>
      <c r="D48" s="47"/>
      <c r="E48" s="47"/>
      <c r="F48" s="39"/>
      <c r="G48" s="44"/>
      <c r="H48" s="47"/>
      <c r="I48" s="44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34"/>
      <c r="C49" s="35"/>
      <c r="D49" s="47"/>
      <c r="E49" s="47"/>
      <c r="F49" s="39"/>
      <c r="G49" s="44"/>
      <c r="H49" s="47"/>
      <c r="I49" s="44"/>
      <c r="J49" s="43"/>
      <c r="K49" s="43"/>
      <c r="L49" s="43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34"/>
      <c r="C50" s="53"/>
      <c r="D50" s="54"/>
      <c r="E50" s="54"/>
      <c r="F50" s="39"/>
      <c r="G50" s="44"/>
      <c r="H50" s="54"/>
      <c r="I50" s="44"/>
      <c r="J50" s="55"/>
      <c r="K50" s="55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34"/>
      <c r="C51" s="35"/>
      <c r="D51" s="47"/>
      <c r="E51" s="47"/>
      <c r="F51" s="39"/>
      <c r="G51" s="44"/>
      <c r="H51" s="47"/>
      <c r="I51" s="44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34"/>
      <c r="C52" s="35"/>
      <c r="D52" s="47"/>
      <c r="E52" s="47"/>
      <c r="F52" s="39"/>
      <c r="G52" s="44"/>
      <c r="H52" s="47"/>
      <c r="I52" s="44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34"/>
      <c r="C53" s="35"/>
      <c r="D53" s="47"/>
      <c r="E53" s="47"/>
      <c r="F53" s="39"/>
      <c r="G53" s="44"/>
      <c r="H53" s="47"/>
      <c r="I53" s="44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34"/>
      <c r="C54" s="35"/>
      <c r="D54" s="47"/>
      <c r="E54" s="47"/>
      <c r="F54" s="39"/>
      <c r="G54" s="44"/>
      <c r="H54" s="47"/>
      <c r="I54" s="44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34"/>
      <c r="C55" s="35"/>
      <c r="D55" s="47"/>
      <c r="E55" s="47"/>
      <c r="F55" s="39"/>
      <c r="G55" s="44"/>
      <c r="H55" s="47"/>
      <c r="I55" s="44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34"/>
      <c r="C56" s="35"/>
      <c r="D56" s="47"/>
      <c r="E56" s="47"/>
      <c r="F56" s="39"/>
      <c r="G56" s="44"/>
      <c r="H56" s="47"/>
      <c r="I56" s="44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34"/>
      <c r="C57" s="35"/>
      <c r="D57" s="47"/>
      <c r="E57" s="47"/>
      <c r="F57" s="39"/>
      <c r="G57" s="44"/>
      <c r="H57" s="47"/>
      <c r="I57" s="44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34"/>
      <c r="C58" s="35"/>
      <c r="D58" s="47"/>
      <c r="E58" s="47"/>
      <c r="F58" s="39"/>
      <c r="G58" s="44"/>
      <c r="H58" s="47"/>
      <c r="I58" s="44"/>
      <c r="J58" s="43"/>
      <c r="K58" s="43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34"/>
      <c r="C59" s="35"/>
      <c r="D59" s="47"/>
      <c r="E59" s="47"/>
      <c r="F59" s="39"/>
      <c r="G59" s="44"/>
      <c r="H59" s="47"/>
      <c r="I59" s="44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34"/>
      <c r="C60" s="35"/>
      <c r="D60" s="47"/>
      <c r="E60" s="47"/>
      <c r="F60" s="39"/>
      <c r="G60" s="44"/>
      <c r="H60" s="47"/>
      <c r="I60" s="44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34"/>
      <c r="C61" s="35"/>
      <c r="D61" s="47"/>
      <c r="E61" s="47"/>
      <c r="F61" s="39"/>
      <c r="G61" s="44"/>
      <c r="H61" s="47"/>
      <c r="I61" s="44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34"/>
      <c r="C62" s="35"/>
      <c r="D62" s="47"/>
      <c r="E62" s="47"/>
      <c r="F62" s="39"/>
      <c r="G62" s="44"/>
      <c r="H62" s="47"/>
      <c r="I62" s="44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34"/>
      <c r="C63" s="35"/>
      <c r="D63" s="47"/>
      <c r="E63" s="47"/>
      <c r="F63" s="39"/>
      <c r="G63" s="44"/>
      <c r="H63" s="47"/>
      <c r="I63" s="44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34"/>
      <c r="C64" s="35"/>
      <c r="D64" s="47"/>
      <c r="E64" s="47"/>
      <c r="F64" s="39"/>
      <c r="G64" s="44"/>
      <c r="H64" s="47"/>
      <c r="I64" s="44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34"/>
      <c r="C65" s="35"/>
      <c r="D65" s="47"/>
      <c r="E65" s="47"/>
      <c r="F65" s="39"/>
      <c r="G65" s="44"/>
      <c r="H65" s="47"/>
      <c r="I65" s="44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34"/>
      <c r="C66" s="35"/>
      <c r="D66" s="47"/>
      <c r="E66" s="47"/>
      <c r="F66" s="39"/>
      <c r="G66" s="44"/>
      <c r="H66" s="47"/>
      <c r="I66" s="44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34"/>
      <c r="C67" s="35"/>
      <c r="D67" s="47"/>
      <c r="E67" s="47"/>
      <c r="F67" s="39"/>
      <c r="G67" s="44"/>
      <c r="H67" s="47"/>
      <c r="I67" s="44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34"/>
      <c r="C68" s="35"/>
      <c r="D68" s="47"/>
      <c r="E68" s="47"/>
      <c r="F68" s="39"/>
      <c r="G68" s="44"/>
      <c r="H68" s="47"/>
      <c r="I68" s="44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34"/>
      <c r="C69" s="35"/>
      <c r="D69" s="47"/>
      <c r="E69" s="47"/>
      <c r="F69" s="39"/>
      <c r="G69" s="44"/>
      <c r="H69" s="47"/>
      <c r="I69" s="44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34"/>
      <c r="C70" s="35"/>
      <c r="D70" s="47"/>
      <c r="E70" s="47"/>
      <c r="F70" s="39"/>
      <c r="G70" s="44"/>
      <c r="H70" s="47"/>
      <c r="I70" s="44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34"/>
      <c r="C71" s="35"/>
      <c r="D71" s="47"/>
      <c r="E71" s="47"/>
      <c r="F71" s="39"/>
      <c r="G71" s="44"/>
      <c r="H71" s="47"/>
      <c r="I71" s="44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34"/>
      <c r="C72" s="35"/>
      <c r="D72" s="47"/>
      <c r="E72" s="47"/>
      <c r="F72" s="39"/>
      <c r="G72" s="44"/>
      <c r="H72" s="47"/>
      <c r="I72" s="44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34"/>
      <c r="C73" s="35"/>
      <c r="D73" s="47"/>
      <c r="E73" s="47"/>
      <c r="F73" s="39"/>
      <c r="G73" s="44"/>
      <c r="H73" s="47"/>
      <c r="I73" s="44"/>
      <c r="J73" s="43"/>
      <c r="K73" s="43"/>
      <c r="L73" s="43"/>
      <c r="M73" s="4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34"/>
      <c r="C74" s="35"/>
      <c r="D74" s="47"/>
      <c r="E74" s="47"/>
      <c r="F74" s="39"/>
      <c r="G74" s="44"/>
      <c r="H74" s="47"/>
      <c r="I74" s="44"/>
      <c r="J74" s="43"/>
      <c r="K74" s="43"/>
      <c r="L74" s="43"/>
      <c r="M74" s="4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34"/>
      <c r="C75" s="35"/>
      <c r="D75" s="47"/>
      <c r="E75" s="47"/>
      <c r="F75" s="39"/>
      <c r="G75" s="44"/>
      <c r="H75" s="47"/>
      <c r="I75" s="44"/>
      <c r="J75" s="43"/>
      <c r="K75" s="43"/>
      <c r="L75" s="43"/>
      <c r="M75" s="43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34"/>
      <c r="C76" s="35"/>
      <c r="D76" s="47"/>
      <c r="E76" s="47"/>
      <c r="F76" s="39"/>
      <c r="G76" s="44"/>
      <c r="H76" s="47"/>
      <c r="I76" s="44"/>
      <c r="J76" s="43"/>
      <c r="K76" s="43"/>
      <c r="L76" s="43"/>
      <c r="M76" s="43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34"/>
      <c r="C77" s="35"/>
      <c r="D77" s="47"/>
      <c r="E77" s="47"/>
      <c r="F77" s="39"/>
      <c r="G77" s="44"/>
      <c r="H77" s="47"/>
      <c r="I77" s="44"/>
      <c r="J77" s="43"/>
      <c r="K77" s="43"/>
      <c r="L77" s="43"/>
      <c r="M77" s="43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34"/>
      <c r="C78" s="35"/>
      <c r="D78" s="47"/>
      <c r="E78" s="47"/>
      <c r="F78" s="39"/>
      <c r="G78" s="44"/>
      <c r="H78" s="47"/>
      <c r="I78" s="44"/>
      <c r="J78" s="43"/>
      <c r="K78" s="43"/>
      <c r="L78" s="43"/>
      <c r="M78" s="43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34"/>
      <c r="C79" s="35"/>
      <c r="D79" s="47"/>
      <c r="E79" s="47"/>
      <c r="F79" s="39"/>
      <c r="G79" s="44"/>
      <c r="H79" s="47"/>
      <c r="I79" s="44"/>
      <c r="J79" s="43"/>
      <c r="K79" s="43"/>
      <c r="L79" s="43"/>
      <c r="M79" s="4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34"/>
      <c r="C80" s="35"/>
      <c r="D80" s="47"/>
      <c r="E80" s="47"/>
      <c r="F80" s="39"/>
      <c r="G80" s="44"/>
      <c r="H80" s="47"/>
      <c r="I80" s="44"/>
      <c r="J80" s="43"/>
      <c r="K80" s="43"/>
      <c r="L80" s="43">
        <f t="shared" ref="L80:L81" si="2">(K80-J80)*D80</f>
        <v>0</v>
      </c>
      <c r="M80" s="43">
        <f t="shared" ref="M80:M81" si="3">(K80-J80)*E80</f>
        <v>0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34"/>
      <c r="C81" s="35"/>
      <c r="D81" s="47"/>
      <c r="E81" s="47"/>
      <c r="F81" s="39"/>
      <c r="G81" s="44"/>
      <c r="H81" s="47"/>
      <c r="I81" s="44"/>
      <c r="J81" s="43"/>
      <c r="K81" s="43"/>
      <c r="L81" s="43">
        <f t="shared" si="2"/>
        <v>0</v>
      </c>
      <c r="M81" s="43">
        <f t="shared" si="3"/>
        <v>0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6" t="s">
        <v>38</v>
      </c>
      <c r="D83" s="57"/>
      <c r="E83" s="57"/>
      <c r="F83" s="57"/>
      <c r="G83" s="5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9"/>
      <c r="G84" s="60"/>
      <c r="H84" s="43">
        <v>0.0</v>
      </c>
      <c r="I84" s="61" t="s">
        <v>39</v>
      </c>
      <c r="J84" s="62"/>
      <c r="K84" s="62"/>
      <c r="L84" s="62"/>
      <c r="M84" s="63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64"/>
      <c r="D85" s="65"/>
      <c r="E85" s="65"/>
      <c r="F85" s="65"/>
      <c r="G85" s="66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5"/>
      <c r="C86" s="67" t="s">
        <v>40</v>
      </c>
      <c r="D86" s="62"/>
      <c r="E86" s="62"/>
      <c r="F86" s="62"/>
      <c r="G86" s="14"/>
      <c r="H86" s="68">
        <f>SUM(L18:L81)</f>
        <v>468</v>
      </c>
      <c r="I86" s="69" t="s">
        <v>41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9.5" customHeight="1">
      <c r="A88" s="5"/>
      <c r="B88" s="5"/>
      <c r="C88" s="67" t="s">
        <v>42</v>
      </c>
      <c r="D88" s="62"/>
      <c r="E88" s="62"/>
      <c r="F88" s="62"/>
      <c r="G88" s="63"/>
      <c r="H88" s="68">
        <f>H84+H86</f>
        <v>468</v>
      </c>
      <c r="I88" s="69" t="s">
        <v>41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75" customHeight="1">
      <c r="A90" s="5"/>
      <c r="B90" s="5"/>
      <c r="C90" s="67" t="s">
        <v>43</v>
      </c>
      <c r="D90" s="62"/>
      <c r="E90" s="62"/>
      <c r="F90" s="62"/>
      <c r="G90" s="63"/>
      <c r="H90" s="68">
        <f>IF(H88&lt;=20000,H86,IF(H84&gt;20000,0,20000-H84))</f>
        <v>468</v>
      </c>
      <c r="I90" s="69" t="s">
        <v>41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5"/>
      <c r="B92" s="5"/>
      <c r="C92" s="67" t="s">
        <v>44</v>
      </c>
      <c r="D92" s="62"/>
      <c r="E92" s="62"/>
      <c r="F92" s="62"/>
      <c r="G92" s="14"/>
      <c r="H92" s="68">
        <f>IF(H88&gt;20000,H88-H84-H90,0)</f>
        <v>0</v>
      </c>
      <c r="I92" s="69" t="s">
        <v>41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7.25" customHeight="1">
      <c r="A94" s="5"/>
      <c r="B94" s="5"/>
      <c r="C94" s="70" t="s">
        <v>45</v>
      </c>
      <c r="D94" s="71">
        <v>3.73</v>
      </c>
      <c r="E94" s="72" t="s">
        <v>46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5"/>
      <c r="B95" s="5"/>
      <c r="C95" s="32"/>
      <c r="D95" s="71">
        <v>2.19</v>
      </c>
      <c r="E95" s="72" t="s">
        <v>47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30.0" customHeight="1">
      <c r="A97" s="5"/>
      <c r="B97" s="5"/>
      <c r="C97" s="73" t="s">
        <v>48</v>
      </c>
      <c r="D97" s="62"/>
      <c r="E97" s="62"/>
      <c r="F97" s="14"/>
      <c r="G97" s="74">
        <f>(H90*D94)+(H92*D95)</f>
        <v>1745.64</v>
      </c>
      <c r="H97" s="12"/>
      <c r="I97" s="69" t="s">
        <v>41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75" t="s">
        <v>49</v>
      </c>
      <c r="D99" s="76"/>
      <c r="E99" s="77"/>
      <c r="F99" s="78"/>
      <c r="G99" s="76"/>
      <c r="H99" s="76"/>
      <c r="I99" s="7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79"/>
      <c r="D100" s="65"/>
      <c r="E100" s="80"/>
      <c r="F100" s="79"/>
      <c r="G100" s="65"/>
      <c r="H100" s="65"/>
      <c r="I100" s="80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3.25" customHeight="1">
      <c r="A101" s="5"/>
      <c r="B101" s="5"/>
      <c r="C101" s="81" t="s">
        <v>50</v>
      </c>
      <c r="D101" s="15"/>
      <c r="E101" s="12"/>
      <c r="F101" s="82"/>
      <c r="G101" s="15"/>
      <c r="H101" s="15"/>
      <c r="I101" s="12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5:D5"/>
    <mergeCell ref="B7:M7"/>
    <mergeCell ref="C9:D9"/>
    <mergeCell ref="H9:I9"/>
    <mergeCell ref="J9:M9"/>
    <mergeCell ref="C10:D10"/>
    <mergeCell ref="H10:I10"/>
    <mergeCell ref="J10:M10"/>
    <mergeCell ref="B14:M14"/>
    <mergeCell ref="B16:B17"/>
    <mergeCell ref="C16:C17"/>
    <mergeCell ref="D16:E16"/>
    <mergeCell ref="F16:G16"/>
    <mergeCell ref="H16:I16"/>
    <mergeCell ref="J16:K16"/>
    <mergeCell ref="L16:M16"/>
    <mergeCell ref="C83:G85"/>
    <mergeCell ref="I84:M84"/>
    <mergeCell ref="C86:G86"/>
    <mergeCell ref="C88:G88"/>
    <mergeCell ref="C90:G90"/>
    <mergeCell ref="C99:E100"/>
    <mergeCell ref="C101:E101"/>
    <mergeCell ref="C92:G92"/>
    <mergeCell ref="C94:C95"/>
    <mergeCell ref="E94:I94"/>
    <mergeCell ref="E95:I95"/>
    <mergeCell ref="C97:F97"/>
    <mergeCell ref="G97:H97"/>
    <mergeCell ref="F99:I100"/>
    <mergeCell ref="F101:I101"/>
  </mergeCells>
  <dataValidations>
    <dataValidation type="decimal" allowBlank="1" showInputMessage="1" showErrorMessage="1" prompt="Ugyldigt tal - Tallet på kilometertælleren skal være mellem 0 and 999.999,9" sqref="J18:K32">
      <formula1>0.0</formula1>
      <formula2>999999.9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0.13"/>
    <col customWidth="1" min="3" max="3" width="22.75"/>
    <col customWidth="1" min="4" max="4" width="12.25"/>
    <col customWidth="1" min="5" max="5" width="12.38"/>
    <col customWidth="1" min="6" max="6" width="20.88"/>
    <col customWidth="1" min="7" max="7" width="11.25"/>
    <col customWidth="1" min="8" max="8" width="19.38"/>
    <col customWidth="1" min="9" max="9" width="11.63"/>
    <col customWidth="1" min="10" max="10" width="13.38"/>
    <col customWidth="1" min="11" max="11" width="14.13"/>
    <col customWidth="1" min="12" max="13" width="10.38"/>
    <col customWidth="1" min="14" max="26" width="8.75"/>
  </cols>
  <sheetData>
    <row r="1" ht="12.75" customHeight="1">
      <c r="A1" s="5"/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9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8"/>
      <c r="B9" s="10" t="s">
        <v>4</v>
      </c>
      <c r="C9" s="88">
        <v>45292.0</v>
      </c>
      <c r="D9" s="12"/>
      <c r="E9" s="9"/>
      <c r="F9" s="9"/>
      <c r="G9" s="9"/>
      <c r="H9" s="13" t="s">
        <v>6</v>
      </c>
      <c r="I9" s="14"/>
      <c r="J9" s="11" t="s">
        <v>7</v>
      </c>
      <c r="K9" s="15"/>
      <c r="L9" s="15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8"/>
      <c r="B10" s="16" t="s">
        <v>8</v>
      </c>
      <c r="C10" s="11" t="s">
        <v>9</v>
      </c>
      <c r="D10" s="12"/>
      <c r="E10" s="9"/>
      <c r="F10" s="9"/>
      <c r="G10" s="9"/>
      <c r="H10" s="13" t="s">
        <v>10</v>
      </c>
      <c r="I10" s="14"/>
      <c r="J10" s="17" t="s">
        <v>11</v>
      </c>
      <c r="K10" s="18"/>
      <c r="L10" s="18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20" t="s">
        <v>12</v>
      </c>
      <c r="K11" s="21">
        <f>SUM(L18:L29)</f>
        <v>856</v>
      </c>
      <c r="L11" s="9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8"/>
      <c r="B12" s="9"/>
      <c r="C12" s="9"/>
      <c r="D12" s="9"/>
      <c r="E12" s="9"/>
      <c r="F12" s="9"/>
      <c r="G12" s="9"/>
      <c r="H12" s="9"/>
      <c r="I12" s="9"/>
      <c r="J12" s="20" t="s">
        <v>13</v>
      </c>
      <c r="K12" s="89">
        <v>3.79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8"/>
      <c r="B13" s="90" t="s">
        <v>53</v>
      </c>
      <c r="C13" s="8"/>
      <c r="D13" s="8"/>
      <c r="E13" s="5"/>
      <c r="F13" s="5"/>
      <c r="G13" s="5"/>
      <c r="H13" s="5"/>
      <c r="I13" s="5"/>
      <c r="J13" s="20" t="s">
        <v>15</v>
      </c>
      <c r="K13" s="22">
        <f>SUM(K11*K12)</f>
        <v>3244.24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24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27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5.25" customHeight="1">
      <c r="A16" s="5"/>
      <c r="B16" s="29" t="s">
        <v>17</v>
      </c>
      <c r="C16" s="30" t="s">
        <v>18</v>
      </c>
      <c r="D16" s="31" t="s">
        <v>19</v>
      </c>
      <c r="E16" s="26"/>
      <c r="F16" s="31" t="s">
        <v>20</v>
      </c>
      <c r="G16" s="26"/>
      <c r="H16" s="31" t="s">
        <v>21</v>
      </c>
      <c r="I16" s="26"/>
      <c r="J16" s="31" t="s">
        <v>22</v>
      </c>
      <c r="K16" s="26"/>
      <c r="L16" s="31" t="s">
        <v>23</v>
      </c>
      <c r="M16" s="2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32"/>
      <c r="C17" s="32"/>
      <c r="D17" s="33" t="s">
        <v>24</v>
      </c>
      <c r="E17" s="33" t="s">
        <v>25</v>
      </c>
      <c r="F17" s="33" t="s">
        <v>26</v>
      </c>
      <c r="G17" s="33" t="s">
        <v>27</v>
      </c>
      <c r="H17" s="33" t="s">
        <v>26</v>
      </c>
      <c r="I17" s="33" t="s">
        <v>27</v>
      </c>
      <c r="J17" s="33" t="s">
        <v>28</v>
      </c>
      <c r="K17" s="33" t="s">
        <v>29</v>
      </c>
      <c r="L17" s="33" t="s">
        <v>24</v>
      </c>
      <c r="M17" s="33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5"/>
      <c r="B18" s="34">
        <v>45294.0</v>
      </c>
      <c r="C18" s="35" t="s">
        <v>52</v>
      </c>
      <c r="D18" s="36">
        <v>1.0</v>
      </c>
      <c r="E18" s="47"/>
      <c r="F18" s="3" t="s">
        <v>31</v>
      </c>
      <c r="G18" s="44">
        <v>2791.0</v>
      </c>
      <c r="H18" s="39" t="s">
        <v>32</v>
      </c>
      <c r="I18" s="40">
        <v>2750.0</v>
      </c>
      <c r="J18" s="41">
        <v>39.0</v>
      </c>
      <c r="K18" s="42">
        <v>39.0</v>
      </c>
      <c r="L18" s="43">
        <f t="shared" ref="L18:L21" si="1">SUM(J18,K18)</f>
        <v>78</v>
      </c>
      <c r="M18" s="4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5"/>
      <c r="B19" s="34">
        <v>45295.0</v>
      </c>
      <c r="C19" s="35" t="s">
        <v>52</v>
      </c>
      <c r="D19" s="36">
        <v>1.0</v>
      </c>
      <c r="E19" s="47"/>
      <c r="F19" s="3" t="s">
        <v>31</v>
      </c>
      <c r="G19" s="44">
        <v>2791.0</v>
      </c>
      <c r="H19" s="39" t="s">
        <v>32</v>
      </c>
      <c r="I19" s="40">
        <v>2750.0</v>
      </c>
      <c r="J19" s="41">
        <v>39.0</v>
      </c>
      <c r="K19" s="42">
        <v>39.0</v>
      </c>
      <c r="L19" s="43">
        <f t="shared" si="1"/>
        <v>78</v>
      </c>
      <c r="M19" s="4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91">
        <v>45301.0</v>
      </c>
      <c r="C20" s="35" t="s">
        <v>52</v>
      </c>
      <c r="D20" s="36">
        <v>1.0</v>
      </c>
      <c r="E20" s="47"/>
      <c r="F20" s="3" t="s">
        <v>31</v>
      </c>
      <c r="G20" s="44">
        <v>2791.0</v>
      </c>
      <c r="H20" s="39" t="s">
        <v>32</v>
      </c>
      <c r="I20" s="40">
        <v>2750.0</v>
      </c>
      <c r="J20" s="41">
        <v>39.0</v>
      </c>
      <c r="K20" s="42">
        <v>39.0</v>
      </c>
      <c r="L20" s="43">
        <f t="shared" si="1"/>
        <v>78</v>
      </c>
      <c r="M20" s="4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91">
        <v>45302.0</v>
      </c>
      <c r="C21" s="35" t="s">
        <v>52</v>
      </c>
      <c r="D21" s="36">
        <v>1.0</v>
      </c>
      <c r="E21" s="47"/>
      <c r="F21" s="3" t="s">
        <v>31</v>
      </c>
      <c r="G21" s="44">
        <v>2791.0</v>
      </c>
      <c r="H21" s="39" t="s">
        <v>32</v>
      </c>
      <c r="I21" s="40">
        <v>2750.0</v>
      </c>
      <c r="J21" s="41">
        <v>39.0</v>
      </c>
      <c r="K21" s="42">
        <v>39.0</v>
      </c>
      <c r="L21" s="43">
        <f t="shared" si="1"/>
        <v>78</v>
      </c>
      <c r="M21" s="4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92" t="s">
        <v>54</v>
      </c>
      <c r="C22" s="93" t="s">
        <v>55</v>
      </c>
      <c r="D22" s="94">
        <v>1.0</v>
      </c>
      <c r="E22" s="47"/>
      <c r="F22" s="1" t="s">
        <v>56</v>
      </c>
      <c r="G22" s="44">
        <v>2791.0</v>
      </c>
      <c r="H22" s="95" t="s">
        <v>57</v>
      </c>
      <c r="I22" s="40">
        <v>1962.0</v>
      </c>
      <c r="J22" s="96">
        <v>19.0</v>
      </c>
      <c r="K22" s="97">
        <v>19.0</v>
      </c>
      <c r="L22" s="98">
        <v>38.0</v>
      </c>
      <c r="M22" s="4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91">
        <v>45308.0</v>
      </c>
      <c r="C23" s="35" t="s">
        <v>52</v>
      </c>
      <c r="D23" s="36">
        <v>1.0</v>
      </c>
      <c r="E23" s="47"/>
      <c r="F23" s="3" t="s">
        <v>31</v>
      </c>
      <c r="G23" s="44">
        <v>2791.0</v>
      </c>
      <c r="H23" s="39" t="s">
        <v>32</v>
      </c>
      <c r="I23" s="40">
        <v>2750.0</v>
      </c>
      <c r="J23" s="41">
        <v>39.0</v>
      </c>
      <c r="K23" s="42">
        <v>39.0</v>
      </c>
      <c r="L23" s="43">
        <f t="shared" ref="L23:L29" si="2">SUM(J23,K23)</f>
        <v>78</v>
      </c>
      <c r="M23" s="4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91">
        <v>45310.0</v>
      </c>
      <c r="C24" s="35" t="s">
        <v>52</v>
      </c>
      <c r="D24" s="36">
        <v>1.0</v>
      </c>
      <c r="E24" s="47"/>
      <c r="F24" s="3" t="s">
        <v>31</v>
      </c>
      <c r="G24" s="44">
        <v>2791.0</v>
      </c>
      <c r="H24" s="39" t="s">
        <v>32</v>
      </c>
      <c r="I24" s="40">
        <v>2750.0</v>
      </c>
      <c r="J24" s="41">
        <v>39.0</v>
      </c>
      <c r="K24" s="42">
        <v>39.0</v>
      </c>
      <c r="L24" s="43">
        <f t="shared" si="2"/>
        <v>78</v>
      </c>
      <c r="M24" s="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91">
        <v>45315.0</v>
      </c>
      <c r="C25" s="35" t="s">
        <v>52</v>
      </c>
      <c r="D25" s="36">
        <v>1.0</v>
      </c>
      <c r="E25" s="47"/>
      <c r="F25" s="3" t="s">
        <v>31</v>
      </c>
      <c r="G25" s="44">
        <v>2791.0</v>
      </c>
      <c r="H25" s="39" t="s">
        <v>32</v>
      </c>
      <c r="I25" s="40">
        <v>2750.0</v>
      </c>
      <c r="J25" s="41">
        <v>39.0</v>
      </c>
      <c r="K25" s="42">
        <v>39.0</v>
      </c>
      <c r="L25" s="43">
        <f t="shared" si="2"/>
        <v>78</v>
      </c>
      <c r="M25" s="4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91">
        <v>45316.0</v>
      </c>
      <c r="C26" s="35" t="s">
        <v>52</v>
      </c>
      <c r="D26" s="36">
        <v>1.0</v>
      </c>
      <c r="E26" s="47"/>
      <c r="F26" s="3" t="s">
        <v>31</v>
      </c>
      <c r="G26" s="44">
        <v>2791.0</v>
      </c>
      <c r="H26" s="39" t="s">
        <v>32</v>
      </c>
      <c r="I26" s="40">
        <v>2750.0</v>
      </c>
      <c r="J26" s="41">
        <v>39.0</v>
      </c>
      <c r="K26" s="42">
        <v>39.0</v>
      </c>
      <c r="L26" s="43">
        <f t="shared" si="2"/>
        <v>78</v>
      </c>
      <c r="M26" s="4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34">
        <v>45320.0</v>
      </c>
      <c r="C27" s="35" t="s">
        <v>52</v>
      </c>
      <c r="D27" s="36">
        <v>1.0</v>
      </c>
      <c r="E27" s="47"/>
      <c r="F27" s="3" t="s">
        <v>31</v>
      </c>
      <c r="G27" s="44">
        <v>2791.0</v>
      </c>
      <c r="H27" s="39" t="s">
        <v>32</v>
      </c>
      <c r="I27" s="40">
        <v>2750.0</v>
      </c>
      <c r="J27" s="41">
        <v>39.0</v>
      </c>
      <c r="K27" s="42">
        <v>39.0</v>
      </c>
      <c r="L27" s="43">
        <f t="shared" si="2"/>
        <v>78</v>
      </c>
      <c r="M27" s="4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34"/>
      <c r="C28" s="93" t="s">
        <v>58</v>
      </c>
      <c r="D28" s="36"/>
      <c r="E28" s="47"/>
      <c r="F28" s="3" t="s">
        <v>59</v>
      </c>
      <c r="G28" s="44">
        <v>2791.0</v>
      </c>
      <c r="H28" s="95" t="s">
        <v>60</v>
      </c>
      <c r="I28" s="40">
        <v>1962.0</v>
      </c>
      <c r="J28" s="96">
        <v>19.0</v>
      </c>
      <c r="K28" s="96">
        <v>19.0</v>
      </c>
      <c r="L28" s="43">
        <f t="shared" si="2"/>
        <v>38</v>
      </c>
      <c r="M28" s="4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91">
        <v>45322.0</v>
      </c>
      <c r="C29" s="35" t="s">
        <v>52</v>
      </c>
      <c r="D29" s="94">
        <v>1.0</v>
      </c>
      <c r="E29" s="47"/>
      <c r="F29" s="3" t="s">
        <v>59</v>
      </c>
      <c r="G29" s="44">
        <v>2792.0</v>
      </c>
      <c r="H29" s="39" t="s">
        <v>61</v>
      </c>
      <c r="I29" s="40">
        <v>2750.0</v>
      </c>
      <c r="J29" s="41">
        <v>39.0</v>
      </c>
      <c r="K29" s="42">
        <v>39.0</v>
      </c>
      <c r="L29" s="43">
        <f t="shared" si="2"/>
        <v>78</v>
      </c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34"/>
      <c r="C30" s="35"/>
      <c r="D30" s="47"/>
      <c r="E30" s="47"/>
      <c r="F30" s="39"/>
      <c r="G30" s="44"/>
      <c r="H30" s="47"/>
      <c r="I30" s="40"/>
      <c r="J30" s="43"/>
      <c r="K30" s="43"/>
      <c r="L30" s="43"/>
      <c r="M30" s="4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34"/>
      <c r="C31" s="35"/>
      <c r="D31" s="47"/>
      <c r="E31" s="47"/>
      <c r="F31" s="39"/>
      <c r="G31" s="44"/>
      <c r="H31" s="47"/>
      <c r="I31" s="44"/>
      <c r="J31" s="43"/>
      <c r="K31" s="43"/>
      <c r="L31" s="43"/>
      <c r="M31" s="4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34"/>
      <c r="C32" s="35"/>
      <c r="D32" s="47"/>
      <c r="E32" s="47"/>
      <c r="F32" s="39"/>
      <c r="G32" s="44"/>
      <c r="H32" s="47"/>
      <c r="I32" s="44"/>
      <c r="J32" s="43"/>
      <c r="K32" s="43"/>
      <c r="L32" s="43"/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34"/>
      <c r="C33" s="35"/>
      <c r="D33" s="47"/>
      <c r="E33" s="47"/>
      <c r="F33" s="39"/>
      <c r="G33" s="44"/>
      <c r="H33" s="47"/>
      <c r="I33" s="44"/>
      <c r="J33" s="43"/>
      <c r="K33" s="43"/>
      <c r="L33" s="43"/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34"/>
      <c r="C34" s="35"/>
      <c r="D34" s="47"/>
      <c r="E34" s="47"/>
      <c r="F34" s="39"/>
      <c r="G34" s="44"/>
      <c r="H34" s="47"/>
      <c r="I34" s="44"/>
      <c r="J34" s="43"/>
      <c r="K34" s="43"/>
      <c r="L34" s="43"/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34"/>
      <c r="C35" s="35"/>
      <c r="D35" s="47"/>
      <c r="E35" s="47"/>
      <c r="F35" s="39"/>
      <c r="G35" s="44"/>
      <c r="H35" s="47"/>
      <c r="I35" s="44"/>
      <c r="J35" s="43"/>
      <c r="K35" s="43"/>
      <c r="L35" s="43"/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34"/>
      <c r="C36" s="35"/>
      <c r="D36" s="47"/>
      <c r="E36" s="47"/>
      <c r="F36" s="39"/>
      <c r="G36" s="44"/>
      <c r="H36" s="47"/>
      <c r="I36" s="44"/>
      <c r="J36" s="43"/>
      <c r="K36" s="43"/>
      <c r="L36" s="43"/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34"/>
      <c r="C37" s="35"/>
      <c r="D37" s="47"/>
      <c r="E37" s="47"/>
      <c r="F37" s="39"/>
      <c r="G37" s="44"/>
      <c r="H37" s="47"/>
      <c r="I37" s="44"/>
      <c r="J37" s="43"/>
      <c r="K37" s="43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34"/>
      <c r="C38" s="35"/>
      <c r="D38" s="47"/>
      <c r="E38" s="47"/>
      <c r="F38" s="39"/>
      <c r="G38" s="44"/>
      <c r="H38" s="47"/>
      <c r="I38" s="44"/>
      <c r="J38" s="43"/>
      <c r="K38" s="43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34"/>
      <c r="C39" s="35"/>
      <c r="D39" s="47"/>
      <c r="E39" s="47"/>
      <c r="F39" s="39"/>
      <c r="G39" s="44"/>
      <c r="H39" s="47"/>
      <c r="I39" s="44"/>
      <c r="J39" s="43"/>
      <c r="K39" s="43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34"/>
      <c r="C40" s="35"/>
      <c r="D40" s="47"/>
      <c r="E40" s="47"/>
      <c r="F40" s="39"/>
      <c r="G40" s="44"/>
      <c r="H40" s="47"/>
      <c r="I40" s="44"/>
      <c r="J40" s="43"/>
      <c r="K40" s="43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34"/>
      <c r="C41" s="35"/>
      <c r="D41" s="47"/>
      <c r="E41" s="47"/>
      <c r="F41" s="39"/>
      <c r="G41" s="44"/>
      <c r="H41" s="47"/>
      <c r="I41" s="44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34"/>
      <c r="C42" s="35"/>
      <c r="D42" s="47"/>
      <c r="E42" s="47"/>
      <c r="F42" s="39"/>
      <c r="G42" s="44"/>
      <c r="H42" s="47"/>
      <c r="I42" s="44"/>
      <c r="J42" s="43"/>
      <c r="K42" s="43"/>
      <c r="L42" s="43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34"/>
      <c r="C43" s="35"/>
      <c r="D43" s="47"/>
      <c r="E43" s="47"/>
      <c r="F43" s="39"/>
      <c r="G43" s="44"/>
      <c r="H43" s="47"/>
      <c r="I43" s="44"/>
      <c r="J43" s="43"/>
      <c r="K43" s="43"/>
      <c r="L43" s="43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34"/>
      <c r="C44" s="35"/>
      <c r="D44" s="47"/>
      <c r="E44" s="47"/>
      <c r="F44" s="39"/>
      <c r="G44" s="44"/>
      <c r="H44" s="47"/>
      <c r="I44" s="44"/>
      <c r="J44" s="43"/>
      <c r="K44" s="43"/>
      <c r="L44" s="43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34"/>
      <c r="C45" s="35"/>
      <c r="D45" s="47"/>
      <c r="E45" s="47"/>
      <c r="F45" s="39"/>
      <c r="G45" s="44"/>
      <c r="H45" s="47"/>
      <c r="I45" s="44"/>
      <c r="J45" s="43"/>
      <c r="K45" s="43"/>
      <c r="L45" s="43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34"/>
      <c r="C46" s="53"/>
      <c r="D46" s="54"/>
      <c r="E46" s="54"/>
      <c r="F46" s="39"/>
      <c r="G46" s="44"/>
      <c r="H46" s="54"/>
      <c r="I46" s="44"/>
      <c r="J46" s="55"/>
      <c r="K46" s="55"/>
      <c r="L46" s="43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34"/>
      <c r="C47" s="35"/>
      <c r="D47" s="47"/>
      <c r="E47" s="47"/>
      <c r="F47" s="39"/>
      <c r="G47" s="44"/>
      <c r="H47" s="47"/>
      <c r="I47" s="44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34"/>
      <c r="C48" s="35"/>
      <c r="D48" s="47"/>
      <c r="E48" s="47"/>
      <c r="F48" s="39"/>
      <c r="G48" s="44"/>
      <c r="H48" s="47"/>
      <c r="I48" s="44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34"/>
      <c r="C49" s="35"/>
      <c r="D49" s="47"/>
      <c r="E49" s="47"/>
      <c r="F49" s="39"/>
      <c r="G49" s="44"/>
      <c r="H49" s="47"/>
      <c r="I49" s="44"/>
      <c r="J49" s="43"/>
      <c r="K49" s="43"/>
      <c r="L49" s="43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34"/>
      <c r="C50" s="35"/>
      <c r="D50" s="47"/>
      <c r="E50" s="47"/>
      <c r="F50" s="39"/>
      <c r="G50" s="44"/>
      <c r="H50" s="47"/>
      <c r="I50" s="44"/>
      <c r="J50" s="43"/>
      <c r="K50" s="43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34"/>
      <c r="C51" s="35"/>
      <c r="D51" s="47"/>
      <c r="E51" s="47"/>
      <c r="F51" s="39"/>
      <c r="G51" s="44"/>
      <c r="H51" s="47"/>
      <c r="I51" s="44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34"/>
      <c r="C52" s="35"/>
      <c r="D52" s="47"/>
      <c r="E52" s="47"/>
      <c r="F52" s="39"/>
      <c r="G52" s="44"/>
      <c r="H52" s="47"/>
      <c r="I52" s="44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34"/>
      <c r="C53" s="35"/>
      <c r="D53" s="47"/>
      <c r="E53" s="47"/>
      <c r="F53" s="39"/>
      <c r="G53" s="44"/>
      <c r="H53" s="47"/>
      <c r="I53" s="44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34"/>
      <c r="C54" s="35"/>
      <c r="D54" s="47"/>
      <c r="E54" s="47"/>
      <c r="F54" s="39"/>
      <c r="G54" s="44"/>
      <c r="H54" s="47"/>
      <c r="I54" s="44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34"/>
      <c r="C55" s="35"/>
      <c r="D55" s="47"/>
      <c r="E55" s="47"/>
      <c r="F55" s="39"/>
      <c r="G55" s="44"/>
      <c r="H55" s="47"/>
      <c r="I55" s="44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34"/>
      <c r="C56" s="35"/>
      <c r="D56" s="47"/>
      <c r="E56" s="47"/>
      <c r="F56" s="39"/>
      <c r="G56" s="44"/>
      <c r="H56" s="47"/>
      <c r="I56" s="44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34"/>
      <c r="C57" s="35"/>
      <c r="D57" s="47"/>
      <c r="E57" s="47"/>
      <c r="F57" s="39"/>
      <c r="G57" s="44"/>
      <c r="H57" s="47"/>
      <c r="I57" s="44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34"/>
      <c r="C58" s="35"/>
      <c r="D58" s="47"/>
      <c r="E58" s="47"/>
      <c r="F58" s="39"/>
      <c r="G58" s="44"/>
      <c r="H58" s="47"/>
      <c r="I58" s="44"/>
      <c r="J58" s="43"/>
      <c r="K58" s="43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34"/>
      <c r="C59" s="35"/>
      <c r="D59" s="47"/>
      <c r="E59" s="47"/>
      <c r="F59" s="39"/>
      <c r="G59" s="44"/>
      <c r="H59" s="47"/>
      <c r="I59" s="44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34"/>
      <c r="C60" s="35"/>
      <c r="D60" s="47"/>
      <c r="E60" s="47"/>
      <c r="F60" s="39"/>
      <c r="G60" s="44"/>
      <c r="H60" s="47"/>
      <c r="I60" s="44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34"/>
      <c r="C61" s="35"/>
      <c r="D61" s="47"/>
      <c r="E61" s="47"/>
      <c r="F61" s="39"/>
      <c r="G61" s="44"/>
      <c r="H61" s="47"/>
      <c r="I61" s="44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34"/>
      <c r="C62" s="35"/>
      <c r="D62" s="47"/>
      <c r="E62" s="47"/>
      <c r="F62" s="39"/>
      <c r="G62" s="44"/>
      <c r="H62" s="47"/>
      <c r="I62" s="44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34"/>
      <c r="C63" s="35"/>
      <c r="D63" s="47"/>
      <c r="E63" s="47"/>
      <c r="F63" s="39"/>
      <c r="G63" s="44"/>
      <c r="H63" s="47"/>
      <c r="I63" s="44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34"/>
      <c r="C64" s="35"/>
      <c r="D64" s="47"/>
      <c r="E64" s="47"/>
      <c r="F64" s="39"/>
      <c r="G64" s="44"/>
      <c r="H64" s="47"/>
      <c r="I64" s="44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34"/>
      <c r="C65" s="35"/>
      <c r="D65" s="47"/>
      <c r="E65" s="47"/>
      <c r="F65" s="39"/>
      <c r="G65" s="44"/>
      <c r="H65" s="47"/>
      <c r="I65" s="44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34"/>
      <c r="C66" s="35"/>
      <c r="D66" s="47"/>
      <c r="E66" s="47"/>
      <c r="F66" s="39"/>
      <c r="G66" s="44"/>
      <c r="H66" s="47"/>
      <c r="I66" s="44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34"/>
      <c r="C67" s="35"/>
      <c r="D67" s="47"/>
      <c r="E67" s="47"/>
      <c r="F67" s="39"/>
      <c r="G67" s="44"/>
      <c r="H67" s="47"/>
      <c r="I67" s="44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34"/>
      <c r="C68" s="35"/>
      <c r="D68" s="47"/>
      <c r="E68" s="47"/>
      <c r="F68" s="39"/>
      <c r="G68" s="44"/>
      <c r="H68" s="47"/>
      <c r="I68" s="44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34"/>
      <c r="C69" s="35"/>
      <c r="D69" s="47"/>
      <c r="E69" s="47"/>
      <c r="F69" s="39"/>
      <c r="G69" s="44"/>
      <c r="H69" s="47"/>
      <c r="I69" s="44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34"/>
      <c r="C70" s="35"/>
      <c r="D70" s="47"/>
      <c r="E70" s="47"/>
      <c r="F70" s="39"/>
      <c r="G70" s="44"/>
      <c r="H70" s="47"/>
      <c r="I70" s="44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34"/>
      <c r="C71" s="35"/>
      <c r="D71" s="47"/>
      <c r="E71" s="47"/>
      <c r="F71" s="39"/>
      <c r="G71" s="44"/>
      <c r="H71" s="47"/>
      <c r="I71" s="44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34"/>
      <c r="C72" s="35"/>
      <c r="D72" s="47"/>
      <c r="E72" s="47"/>
      <c r="F72" s="39"/>
      <c r="G72" s="44"/>
      <c r="H72" s="47"/>
      <c r="I72" s="44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34"/>
      <c r="C73" s="35"/>
      <c r="D73" s="47"/>
      <c r="E73" s="47"/>
      <c r="F73" s="39"/>
      <c r="G73" s="44"/>
      <c r="H73" s="47"/>
      <c r="I73" s="44"/>
      <c r="J73" s="43"/>
      <c r="K73" s="43"/>
      <c r="L73" s="43"/>
      <c r="M73" s="4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34"/>
      <c r="C74" s="35"/>
      <c r="D74" s="47"/>
      <c r="E74" s="47"/>
      <c r="F74" s="39"/>
      <c r="G74" s="44"/>
      <c r="H74" s="47"/>
      <c r="I74" s="44"/>
      <c r="J74" s="43"/>
      <c r="K74" s="43"/>
      <c r="L74" s="43"/>
      <c r="M74" s="4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34"/>
      <c r="C75" s="35"/>
      <c r="D75" s="47"/>
      <c r="E75" s="47"/>
      <c r="F75" s="39"/>
      <c r="G75" s="44"/>
      <c r="H75" s="47"/>
      <c r="I75" s="44"/>
      <c r="J75" s="43"/>
      <c r="K75" s="43"/>
      <c r="L75" s="43"/>
      <c r="M75" s="43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34"/>
      <c r="C76" s="35"/>
      <c r="D76" s="47"/>
      <c r="E76" s="47"/>
      <c r="F76" s="39"/>
      <c r="G76" s="44"/>
      <c r="H76" s="47"/>
      <c r="I76" s="44"/>
      <c r="J76" s="43"/>
      <c r="K76" s="43"/>
      <c r="L76" s="43">
        <f t="shared" ref="L76:L77" si="3">(K76-J76)*D76</f>
        <v>0</v>
      </c>
      <c r="M76" s="43">
        <f t="shared" ref="M76:M77" si="4">(K76-J76)*E76</f>
        <v>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34"/>
      <c r="C77" s="35"/>
      <c r="D77" s="47"/>
      <c r="E77" s="47"/>
      <c r="F77" s="39"/>
      <c r="G77" s="44"/>
      <c r="H77" s="47"/>
      <c r="I77" s="44"/>
      <c r="J77" s="43"/>
      <c r="K77" s="43"/>
      <c r="L77" s="43">
        <f t="shared" si="3"/>
        <v>0</v>
      </c>
      <c r="M77" s="43">
        <f t="shared" si="4"/>
        <v>0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6" t="s">
        <v>38</v>
      </c>
      <c r="D79" s="57"/>
      <c r="E79" s="57"/>
      <c r="F79" s="57"/>
      <c r="G79" s="5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9"/>
      <c r="G80" s="60"/>
      <c r="H80" s="43">
        <v>0.0</v>
      </c>
      <c r="I80" s="61" t="s">
        <v>39</v>
      </c>
      <c r="J80" s="62"/>
      <c r="K80" s="62"/>
      <c r="L80" s="62"/>
      <c r="M80" s="63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64"/>
      <c r="D81" s="65"/>
      <c r="E81" s="65"/>
      <c r="F81" s="65"/>
      <c r="G81" s="66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5"/>
      <c r="B82" s="5"/>
      <c r="C82" s="67" t="s">
        <v>40</v>
      </c>
      <c r="D82" s="62"/>
      <c r="E82" s="62"/>
      <c r="F82" s="62"/>
      <c r="G82" s="14"/>
      <c r="H82" s="68">
        <f>SUM(L18:L77)</f>
        <v>856</v>
      </c>
      <c r="I82" s="69" t="s">
        <v>41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9.5" customHeight="1">
      <c r="A84" s="5"/>
      <c r="B84" s="5"/>
      <c r="C84" s="67" t="s">
        <v>42</v>
      </c>
      <c r="D84" s="62"/>
      <c r="E84" s="62"/>
      <c r="F84" s="62"/>
      <c r="G84" s="63"/>
      <c r="H84" s="68">
        <f>H80+H82</f>
        <v>856</v>
      </c>
      <c r="I84" s="69" t="s">
        <v>41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75" customHeight="1">
      <c r="A86" s="5"/>
      <c r="B86" s="5"/>
      <c r="C86" s="67" t="s">
        <v>43</v>
      </c>
      <c r="D86" s="62"/>
      <c r="E86" s="62"/>
      <c r="F86" s="62"/>
      <c r="G86" s="63"/>
      <c r="H86" s="68">
        <f>IF(H84&lt;=20000,H82,IF(H80&gt;20000,0,20000-H80))</f>
        <v>856</v>
      </c>
      <c r="I86" s="69" t="s">
        <v>41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5"/>
      <c r="C88" s="67" t="s">
        <v>44</v>
      </c>
      <c r="D88" s="62"/>
      <c r="E88" s="62"/>
      <c r="F88" s="62"/>
      <c r="G88" s="14"/>
      <c r="H88" s="68">
        <f>IF(H84&gt;20000,H84-H80-H86,0)</f>
        <v>0</v>
      </c>
      <c r="I88" s="69" t="s">
        <v>41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7.25" customHeight="1">
      <c r="A90" s="5"/>
      <c r="B90" s="5"/>
      <c r="C90" s="70" t="s">
        <v>45</v>
      </c>
      <c r="D90" s="71">
        <v>3.79</v>
      </c>
      <c r="E90" s="72" t="s">
        <v>46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5"/>
      <c r="B91" s="5"/>
      <c r="C91" s="32"/>
      <c r="D91" s="71">
        <v>2.23</v>
      </c>
      <c r="E91" s="72" t="s">
        <v>47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30.0" customHeight="1">
      <c r="A93" s="5"/>
      <c r="B93" s="5"/>
      <c r="C93" s="73" t="s">
        <v>48</v>
      </c>
      <c r="D93" s="62"/>
      <c r="E93" s="62"/>
      <c r="F93" s="14"/>
      <c r="G93" s="74">
        <f>(H86*D90)+(H88*D91)</f>
        <v>3244.24</v>
      </c>
      <c r="H93" s="12"/>
      <c r="I93" s="69" t="s">
        <v>41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75" t="s">
        <v>49</v>
      </c>
      <c r="D95" s="76"/>
      <c r="E95" s="77"/>
      <c r="F95" s="78"/>
      <c r="G95" s="76"/>
      <c r="H95" s="76"/>
      <c r="I95" s="7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79"/>
      <c r="D96" s="65"/>
      <c r="E96" s="80"/>
      <c r="F96" s="79"/>
      <c r="G96" s="65"/>
      <c r="H96" s="65"/>
      <c r="I96" s="80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3.25" customHeight="1">
      <c r="A97" s="5"/>
      <c r="B97" s="5"/>
      <c r="C97" s="81" t="s">
        <v>50</v>
      </c>
      <c r="D97" s="15"/>
      <c r="E97" s="12"/>
      <c r="F97" s="82"/>
      <c r="G97" s="15"/>
      <c r="H97" s="15"/>
      <c r="I97" s="12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6"/>
      <c r="D120" s="5"/>
      <c r="E120" s="5"/>
      <c r="F120" s="99" t="s">
        <v>53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1">
    <mergeCell ref="A5:D5"/>
    <mergeCell ref="B7:M7"/>
    <mergeCell ref="C9:D9"/>
    <mergeCell ref="H9:I9"/>
    <mergeCell ref="J9:M9"/>
    <mergeCell ref="C10:D10"/>
    <mergeCell ref="H10:I10"/>
    <mergeCell ref="J10:M10"/>
    <mergeCell ref="B14:M14"/>
    <mergeCell ref="B16:B17"/>
    <mergeCell ref="C16:C17"/>
    <mergeCell ref="D16:E16"/>
    <mergeCell ref="F16:G16"/>
    <mergeCell ref="H16:I16"/>
    <mergeCell ref="J16:K16"/>
    <mergeCell ref="L16:M16"/>
    <mergeCell ref="C79:G81"/>
    <mergeCell ref="I80:M80"/>
    <mergeCell ref="C82:G82"/>
    <mergeCell ref="C84:G84"/>
    <mergeCell ref="C86:G86"/>
    <mergeCell ref="C95:E96"/>
    <mergeCell ref="C97:E97"/>
    <mergeCell ref="C88:G88"/>
    <mergeCell ref="C90:C91"/>
    <mergeCell ref="E90:I90"/>
    <mergeCell ref="E91:I91"/>
    <mergeCell ref="C93:F93"/>
    <mergeCell ref="G93:H93"/>
    <mergeCell ref="F95:I96"/>
    <mergeCell ref="F97:I97"/>
  </mergeCells>
  <dataValidations>
    <dataValidation type="decimal" allowBlank="1" showInputMessage="1" showErrorMessage="1" prompt="Ugyldigt tal - Tallet på kilometertælleren skal være mellem 0 and 999.999,9" sqref="J18:K29">
      <formula1>0.0</formula1>
      <formula2>999999.9</formula2>
    </dataValidation>
  </dataValidations>
  <hyperlinks>
    <hyperlink r:id="rId1" ref="B13"/>
    <hyperlink r:id="rId2" ref="F120"/>
  </hyperlinks>
  <printOptions/>
  <pageMargins bottom="0.75" footer="0.0" header="0.0" left="0.7" right="0.7" top="0.75"/>
  <pageSetup orientation="landscape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0.13"/>
    <col customWidth="1" min="3" max="3" width="22.75"/>
    <col customWidth="1" min="4" max="4" width="12.25"/>
    <col customWidth="1" min="5" max="5" width="12.38"/>
    <col customWidth="1" min="6" max="6" width="20.88"/>
    <col customWidth="1" min="7" max="7" width="11.25"/>
    <col customWidth="1" min="8" max="8" width="19.38"/>
    <col customWidth="1" min="9" max="9" width="11.63"/>
    <col customWidth="1" min="10" max="10" width="13.38"/>
    <col customWidth="1" min="11" max="11" width="14.13"/>
    <col customWidth="1" min="12" max="13" width="10.38"/>
    <col customWidth="1" min="14" max="26" width="8.75"/>
  </cols>
  <sheetData>
    <row r="1" ht="12.75" customHeight="1">
      <c r="A1" s="100" t="s">
        <v>62</v>
      </c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9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8"/>
      <c r="B9" s="10" t="s">
        <v>4</v>
      </c>
      <c r="C9" s="88">
        <v>45323.0</v>
      </c>
      <c r="D9" s="12"/>
      <c r="E9" s="9"/>
      <c r="F9" s="9"/>
      <c r="G9" s="9"/>
      <c r="H9" s="13" t="s">
        <v>6</v>
      </c>
      <c r="I9" s="14"/>
      <c r="J9" s="11" t="s">
        <v>7</v>
      </c>
      <c r="K9" s="15"/>
      <c r="L9" s="15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8"/>
      <c r="B10" s="16" t="s">
        <v>8</v>
      </c>
      <c r="C10" s="101" t="s">
        <v>63</v>
      </c>
      <c r="D10" s="12"/>
      <c r="E10" s="9"/>
      <c r="F10" s="9"/>
      <c r="G10" s="9"/>
      <c r="H10" s="13" t="s">
        <v>10</v>
      </c>
      <c r="I10" s="14"/>
      <c r="J10" s="17" t="s">
        <v>11</v>
      </c>
      <c r="K10" s="18"/>
      <c r="L10" s="18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20" t="s">
        <v>12</v>
      </c>
      <c r="K11" s="21">
        <f>SUM(L18:L29)</f>
        <v>1190</v>
      </c>
      <c r="L11" s="9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8"/>
      <c r="B12" s="9"/>
      <c r="C12" s="9"/>
      <c r="D12" s="9"/>
      <c r="E12" s="9"/>
      <c r="F12" s="9"/>
      <c r="G12" s="9"/>
      <c r="H12" s="9"/>
      <c r="I12" s="9"/>
      <c r="J12" s="20" t="s">
        <v>13</v>
      </c>
      <c r="K12" s="89">
        <v>3.79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90" t="s">
        <v>53</v>
      </c>
      <c r="B13" s="8"/>
      <c r="C13" s="8"/>
      <c r="D13" s="8"/>
      <c r="E13" s="5"/>
      <c r="F13" s="5"/>
      <c r="G13" s="5"/>
      <c r="H13" s="5"/>
      <c r="I13" s="5"/>
      <c r="J13" s="20" t="s">
        <v>15</v>
      </c>
      <c r="K13" s="22">
        <f>SUM(K11*K12)</f>
        <v>4510.1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24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27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5.25" customHeight="1">
      <c r="A16" s="5"/>
      <c r="B16" s="29" t="s">
        <v>17</v>
      </c>
      <c r="C16" s="30" t="s">
        <v>18</v>
      </c>
      <c r="D16" s="31" t="s">
        <v>19</v>
      </c>
      <c r="E16" s="26"/>
      <c r="F16" s="31" t="s">
        <v>20</v>
      </c>
      <c r="G16" s="26"/>
      <c r="H16" s="31" t="s">
        <v>21</v>
      </c>
      <c r="I16" s="26"/>
      <c r="J16" s="31" t="s">
        <v>22</v>
      </c>
      <c r="K16" s="26"/>
      <c r="L16" s="31" t="s">
        <v>23</v>
      </c>
      <c r="M16" s="2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32"/>
      <c r="C17" s="32"/>
      <c r="D17" s="33" t="s">
        <v>24</v>
      </c>
      <c r="E17" s="33" t="s">
        <v>25</v>
      </c>
      <c r="F17" s="33" t="s">
        <v>26</v>
      </c>
      <c r="G17" s="33" t="s">
        <v>27</v>
      </c>
      <c r="H17" s="33" t="s">
        <v>26</v>
      </c>
      <c r="I17" s="33" t="s">
        <v>27</v>
      </c>
      <c r="J17" s="33" t="s">
        <v>28</v>
      </c>
      <c r="K17" s="33" t="s">
        <v>29</v>
      </c>
      <c r="L17" s="33" t="s">
        <v>24</v>
      </c>
      <c r="M17" s="33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5"/>
      <c r="B18" s="102">
        <v>45323.0</v>
      </c>
      <c r="C18" s="35" t="s">
        <v>52</v>
      </c>
      <c r="D18" s="36">
        <v>1.0</v>
      </c>
      <c r="E18" s="47"/>
      <c r="F18" s="3" t="s">
        <v>31</v>
      </c>
      <c r="G18" s="44">
        <v>2791.0</v>
      </c>
      <c r="H18" s="39" t="s">
        <v>32</v>
      </c>
      <c r="I18" s="40">
        <v>2750.0</v>
      </c>
      <c r="J18" s="41">
        <v>39.0</v>
      </c>
      <c r="K18" s="42">
        <v>39.0</v>
      </c>
      <c r="L18" s="43">
        <f t="shared" ref="L18:L28" si="1">SUM(J18,K18)</f>
        <v>78</v>
      </c>
      <c r="M18" s="4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5"/>
      <c r="B19" s="102">
        <v>45324.0</v>
      </c>
      <c r="C19" s="93" t="s">
        <v>64</v>
      </c>
      <c r="D19" s="94">
        <v>1.0</v>
      </c>
      <c r="E19" s="47"/>
      <c r="F19" s="1" t="s">
        <v>31</v>
      </c>
      <c r="G19" s="44">
        <v>2791.0</v>
      </c>
      <c r="H19" s="95" t="s">
        <v>65</v>
      </c>
      <c r="I19" s="40">
        <v>2100.0</v>
      </c>
      <c r="J19" s="96">
        <v>23.0</v>
      </c>
      <c r="K19" s="97">
        <v>23.0</v>
      </c>
      <c r="L19" s="43">
        <f t="shared" si="1"/>
        <v>46</v>
      </c>
      <c r="M19" s="4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102">
        <v>45330.0</v>
      </c>
      <c r="C20" s="35" t="s">
        <v>52</v>
      </c>
      <c r="D20" s="36">
        <v>1.0</v>
      </c>
      <c r="E20" s="47"/>
      <c r="F20" s="3" t="s">
        <v>31</v>
      </c>
      <c r="G20" s="44">
        <v>2791.0</v>
      </c>
      <c r="H20" s="39" t="s">
        <v>32</v>
      </c>
      <c r="I20" s="40">
        <v>2750.0</v>
      </c>
      <c r="J20" s="41">
        <v>39.0</v>
      </c>
      <c r="K20" s="42">
        <v>39.0</v>
      </c>
      <c r="L20" s="43">
        <f t="shared" si="1"/>
        <v>78</v>
      </c>
      <c r="M20" s="4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102">
        <v>45331.0</v>
      </c>
      <c r="C21" s="35" t="s">
        <v>52</v>
      </c>
      <c r="D21" s="36">
        <v>1.0</v>
      </c>
      <c r="E21" s="47"/>
      <c r="F21" s="3" t="s">
        <v>31</v>
      </c>
      <c r="G21" s="44">
        <v>2791.0</v>
      </c>
      <c r="H21" s="39" t="s">
        <v>32</v>
      </c>
      <c r="I21" s="40">
        <v>2750.0</v>
      </c>
      <c r="J21" s="41">
        <v>39.0</v>
      </c>
      <c r="K21" s="42">
        <v>39.0</v>
      </c>
      <c r="L21" s="43">
        <f t="shared" si="1"/>
        <v>78</v>
      </c>
      <c r="M21" s="4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102">
        <v>45337.0</v>
      </c>
      <c r="C22" s="35" t="s">
        <v>52</v>
      </c>
      <c r="D22" s="36">
        <v>1.0</v>
      </c>
      <c r="E22" s="47"/>
      <c r="F22" s="3" t="s">
        <v>31</v>
      </c>
      <c r="G22" s="44">
        <v>2791.0</v>
      </c>
      <c r="H22" s="39" t="s">
        <v>32</v>
      </c>
      <c r="I22" s="40">
        <v>2750.0</v>
      </c>
      <c r="J22" s="41">
        <v>39.0</v>
      </c>
      <c r="K22" s="42">
        <v>39.0</v>
      </c>
      <c r="L22" s="43">
        <f t="shared" si="1"/>
        <v>78</v>
      </c>
      <c r="M22" s="4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102">
        <v>45338.0</v>
      </c>
      <c r="C23" s="35" t="s">
        <v>52</v>
      </c>
      <c r="D23" s="36">
        <v>1.0</v>
      </c>
      <c r="E23" s="47"/>
      <c r="F23" s="3" t="s">
        <v>31</v>
      </c>
      <c r="G23" s="44">
        <v>2791.0</v>
      </c>
      <c r="H23" s="39" t="s">
        <v>32</v>
      </c>
      <c r="I23" s="40">
        <v>2750.0</v>
      </c>
      <c r="J23" s="41">
        <v>39.0</v>
      </c>
      <c r="K23" s="42">
        <v>39.0</v>
      </c>
      <c r="L23" s="43">
        <f t="shared" si="1"/>
        <v>78</v>
      </c>
      <c r="M23" s="4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102">
        <v>45342.0</v>
      </c>
      <c r="C24" s="93" t="s">
        <v>66</v>
      </c>
      <c r="D24" s="94">
        <v>1.0</v>
      </c>
      <c r="E24" s="47"/>
      <c r="F24" s="1" t="s">
        <v>31</v>
      </c>
      <c r="G24" s="40">
        <v>2791.0</v>
      </c>
      <c r="H24" s="95" t="s">
        <v>67</v>
      </c>
      <c r="I24" s="40">
        <v>1360.0</v>
      </c>
      <c r="J24" s="96">
        <v>20.0</v>
      </c>
      <c r="K24" s="97">
        <v>20.0</v>
      </c>
      <c r="L24" s="43">
        <f t="shared" si="1"/>
        <v>40</v>
      </c>
      <c r="M24" s="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102">
        <v>45343.0</v>
      </c>
      <c r="C25" s="35" t="s">
        <v>52</v>
      </c>
      <c r="D25" s="36">
        <v>1.0</v>
      </c>
      <c r="E25" s="47"/>
      <c r="F25" s="3" t="s">
        <v>31</v>
      </c>
      <c r="G25" s="44">
        <v>2791.0</v>
      </c>
      <c r="H25" s="39" t="s">
        <v>32</v>
      </c>
      <c r="I25" s="40">
        <v>2750.0</v>
      </c>
      <c r="J25" s="41">
        <v>39.0</v>
      </c>
      <c r="K25" s="42">
        <v>39.0</v>
      </c>
      <c r="L25" s="43">
        <f t="shared" si="1"/>
        <v>78</v>
      </c>
      <c r="M25" s="4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102">
        <v>45344.0</v>
      </c>
      <c r="C26" s="35" t="s">
        <v>52</v>
      </c>
      <c r="D26" s="36">
        <v>1.0</v>
      </c>
      <c r="E26" s="47"/>
      <c r="F26" s="3" t="s">
        <v>31</v>
      </c>
      <c r="G26" s="44">
        <v>2791.0</v>
      </c>
      <c r="H26" s="39" t="s">
        <v>32</v>
      </c>
      <c r="I26" s="40">
        <v>2750.0</v>
      </c>
      <c r="J26" s="41">
        <v>39.0</v>
      </c>
      <c r="K26" s="42">
        <v>39.0</v>
      </c>
      <c r="L26" s="43">
        <f t="shared" si="1"/>
        <v>78</v>
      </c>
      <c r="M26" s="4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102">
        <v>45351.0</v>
      </c>
      <c r="C27" s="35" t="s">
        <v>52</v>
      </c>
      <c r="D27" s="36">
        <v>1.0</v>
      </c>
      <c r="E27" s="47"/>
      <c r="F27" s="3" t="s">
        <v>31</v>
      </c>
      <c r="G27" s="44">
        <v>2791.0</v>
      </c>
      <c r="H27" s="39" t="s">
        <v>32</v>
      </c>
      <c r="I27" s="40">
        <v>2750.0</v>
      </c>
      <c r="J27" s="41">
        <v>39.0</v>
      </c>
      <c r="K27" s="42">
        <v>39.0</v>
      </c>
      <c r="L27" s="43">
        <f t="shared" si="1"/>
        <v>78</v>
      </c>
      <c r="M27" s="4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102">
        <v>45414.0</v>
      </c>
      <c r="C28" s="93" t="s">
        <v>68</v>
      </c>
      <c r="D28" s="94">
        <v>1.0</v>
      </c>
      <c r="E28" s="47"/>
      <c r="F28" s="1" t="s">
        <v>31</v>
      </c>
      <c r="G28" s="40">
        <v>2791.0</v>
      </c>
      <c r="H28" s="95" t="s">
        <v>69</v>
      </c>
      <c r="I28" s="40">
        <v>6000.0</v>
      </c>
      <c r="J28" s="96">
        <v>240.0</v>
      </c>
      <c r="K28" s="97">
        <v>240.0</v>
      </c>
      <c r="L28" s="43">
        <f t="shared" si="1"/>
        <v>480</v>
      </c>
      <c r="M28" s="4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34"/>
      <c r="C29" s="35"/>
      <c r="D29" s="36"/>
      <c r="E29" s="47"/>
      <c r="G29" s="44"/>
      <c r="H29" s="39"/>
      <c r="I29" s="44"/>
      <c r="J29" s="41"/>
      <c r="K29" s="42"/>
      <c r="L29" s="43"/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34"/>
      <c r="C30" s="35"/>
      <c r="D30" s="47"/>
      <c r="E30" s="47"/>
      <c r="F30" s="39"/>
      <c r="G30" s="44"/>
      <c r="H30" s="47"/>
      <c r="I30" s="44"/>
      <c r="J30" s="43"/>
      <c r="K30" s="43"/>
      <c r="L30" s="43"/>
      <c r="M30" s="4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34"/>
      <c r="C31" s="35"/>
      <c r="D31" s="47"/>
      <c r="E31" s="47"/>
      <c r="F31" s="39"/>
      <c r="G31" s="44"/>
      <c r="H31" s="47"/>
      <c r="I31" s="44"/>
      <c r="J31" s="43"/>
      <c r="K31" s="43"/>
      <c r="L31" s="43"/>
      <c r="M31" s="4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34"/>
      <c r="C32" s="35"/>
      <c r="D32" s="47"/>
      <c r="E32" s="47"/>
      <c r="F32" s="39"/>
      <c r="G32" s="44"/>
      <c r="H32" s="47"/>
      <c r="I32" s="44"/>
      <c r="J32" s="43"/>
      <c r="K32" s="43"/>
      <c r="L32" s="43"/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34"/>
      <c r="C33" s="35"/>
      <c r="D33" s="47"/>
      <c r="E33" s="47"/>
      <c r="F33" s="39"/>
      <c r="G33" s="44"/>
      <c r="H33" s="47"/>
      <c r="I33" s="44"/>
      <c r="J33" s="43"/>
      <c r="K33" s="43"/>
      <c r="L33" s="43"/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34"/>
      <c r="C34" s="35"/>
      <c r="D34" s="47"/>
      <c r="E34" s="47"/>
      <c r="F34" s="39"/>
      <c r="G34" s="44"/>
      <c r="H34" s="47"/>
      <c r="I34" s="44"/>
      <c r="J34" s="43"/>
      <c r="K34" s="43"/>
      <c r="L34" s="43"/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34"/>
      <c r="C35" s="35"/>
      <c r="D35" s="47"/>
      <c r="E35" s="47"/>
      <c r="F35" s="39"/>
      <c r="G35" s="44"/>
      <c r="H35" s="47"/>
      <c r="I35" s="44"/>
      <c r="J35" s="43"/>
      <c r="K35" s="43"/>
      <c r="L35" s="43"/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34"/>
      <c r="C36" s="35"/>
      <c r="D36" s="47"/>
      <c r="E36" s="47"/>
      <c r="F36" s="39"/>
      <c r="G36" s="44"/>
      <c r="H36" s="47"/>
      <c r="I36" s="44"/>
      <c r="J36" s="43"/>
      <c r="K36" s="43"/>
      <c r="L36" s="43"/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34"/>
      <c r="C37" s="35"/>
      <c r="D37" s="47"/>
      <c r="E37" s="47"/>
      <c r="F37" s="39"/>
      <c r="G37" s="44"/>
      <c r="H37" s="47"/>
      <c r="I37" s="44"/>
      <c r="J37" s="43"/>
      <c r="K37" s="43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34"/>
      <c r="C38" s="35"/>
      <c r="D38" s="47"/>
      <c r="E38" s="47"/>
      <c r="F38" s="39"/>
      <c r="G38" s="44"/>
      <c r="H38" s="47"/>
      <c r="I38" s="44"/>
      <c r="J38" s="43"/>
      <c r="K38" s="43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34"/>
      <c r="C39" s="35"/>
      <c r="D39" s="47"/>
      <c r="E39" s="47"/>
      <c r="F39" s="39"/>
      <c r="G39" s="44"/>
      <c r="H39" s="47"/>
      <c r="I39" s="44"/>
      <c r="J39" s="43"/>
      <c r="K39" s="43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34"/>
      <c r="C40" s="35"/>
      <c r="D40" s="47"/>
      <c r="E40" s="47"/>
      <c r="F40" s="39"/>
      <c r="G40" s="44"/>
      <c r="H40" s="47"/>
      <c r="I40" s="44"/>
      <c r="J40" s="43"/>
      <c r="K40" s="43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34"/>
      <c r="C41" s="35"/>
      <c r="D41" s="47"/>
      <c r="E41" s="47"/>
      <c r="F41" s="39"/>
      <c r="G41" s="44"/>
      <c r="H41" s="47"/>
      <c r="I41" s="44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34"/>
      <c r="C42" s="35"/>
      <c r="D42" s="47"/>
      <c r="E42" s="47"/>
      <c r="F42" s="39"/>
      <c r="G42" s="44"/>
      <c r="H42" s="47"/>
      <c r="I42" s="44"/>
      <c r="J42" s="43"/>
      <c r="K42" s="43"/>
      <c r="L42" s="43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34"/>
      <c r="C43" s="35"/>
      <c r="D43" s="47"/>
      <c r="E43" s="47"/>
      <c r="F43" s="39"/>
      <c r="G43" s="44"/>
      <c r="H43" s="47"/>
      <c r="I43" s="44"/>
      <c r="J43" s="43"/>
      <c r="K43" s="43"/>
      <c r="L43" s="43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34"/>
      <c r="C44" s="35"/>
      <c r="D44" s="47"/>
      <c r="E44" s="47"/>
      <c r="F44" s="39"/>
      <c r="G44" s="44"/>
      <c r="H44" s="47"/>
      <c r="I44" s="44"/>
      <c r="J44" s="43"/>
      <c r="K44" s="43"/>
      <c r="L44" s="43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34"/>
      <c r="C45" s="35"/>
      <c r="D45" s="47"/>
      <c r="E45" s="47"/>
      <c r="F45" s="39"/>
      <c r="G45" s="44"/>
      <c r="H45" s="47"/>
      <c r="I45" s="44"/>
      <c r="J45" s="43"/>
      <c r="K45" s="43"/>
      <c r="L45" s="43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34"/>
      <c r="C46" s="53"/>
      <c r="D46" s="54"/>
      <c r="E46" s="54"/>
      <c r="F46" s="39"/>
      <c r="G46" s="44"/>
      <c r="H46" s="54"/>
      <c r="I46" s="44"/>
      <c r="J46" s="55"/>
      <c r="K46" s="55"/>
      <c r="L46" s="43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34"/>
      <c r="C47" s="35"/>
      <c r="D47" s="47"/>
      <c r="E47" s="47"/>
      <c r="F47" s="39"/>
      <c r="G47" s="44"/>
      <c r="H47" s="47"/>
      <c r="I47" s="44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34"/>
      <c r="C48" s="35"/>
      <c r="D48" s="47"/>
      <c r="E48" s="47"/>
      <c r="F48" s="39"/>
      <c r="G48" s="44"/>
      <c r="H48" s="47"/>
      <c r="I48" s="44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34"/>
      <c r="C49" s="35"/>
      <c r="D49" s="47"/>
      <c r="E49" s="47"/>
      <c r="F49" s="39"/>
      <c r="G49" s="44"/>
      <c r="H49" s="47"/>
      <c r="I49" s="44"/>
      <c r="J49" s="43"/>
      <c r="K49" s="43"/>
      <c r="L49" s="43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34"/>
      <c r="C50" s="35"/>
      <c r="D50" s="47"/>
      <c r="E50" s="47"/>
      <c r="F50" s="39"/>
      <c r="G50" s="44"/>
      <c r="H50" s="47"/>
      <c r="I50" s="44"/>
      <c r="J50" s="43"/>
      <c r="K50" s="43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34"/>
      <c r="C51" s="35"/>
      <c r="D51" s="47"/>
      <c r="E51" s="47"/>
      <c r="F51" s="39"/>
      <c r="G51" s="44"/>
      <c r="H51" s="47"/>
      <c r="I51" s="44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34"/>
      <c r="C52" s="35"/>
      <c r="D52" s="47"/>
      <c r="E52" s="47"/>
      <c r="F52" s="39"/>
      <c r="G52" s="44"/>
      <c r="H52" s="47"/>
      <c r="I52" s="44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34"/>
      <c r="C53" s="35"/>
      <c r="D53" s="47"/>
      <c r="E53" s="47"/>
      <c r="F53" s="39"/>
      <c r="G53" s="44"/>
      <c r="H53" s="47"/>
      <c r="I53" s="44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34"/>
      <c r="C54" s="35"/>
      <c r="D54" s="47"/>
      <c r="E54" s="47"/>
      <c r="F54" s="39"/>
      <c r="G54" s="44"/>
      <c r="H54" s="47"/>
      <c r="I54" s="44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34"/>
      <c r="C55" s="35"/>
      <c r="D55" s="47"/>
      <c r="E55" s="47"/>
      <c r="F55" s="39"/>
      <c r="G55" s="44"/>
      <c r="H55" s="47"/>
      <c r="I55" s="44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34"/>
      <c r="C56" s="35"/>
      <c r="D56" s="47"/>
      <c r="E56" s="47"/>
      <c r="F56" s="39"/>
      <c r="G56" s="44"/>
      <c r="H56" s="47"/>
      <c r="I56" s="44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34"/>
      <c r="C57" s="35"/>
      <c r="D57" s="47"/>
      <c r="E57" s="47"/>
      <c r="F57" s="39"/>
      <c r="G57" s="44"/>
      <c r="H57" s="47"/>
      <c r="I57" s="44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34"/>
      <c r="C58" s="35"/>
      <c r="D58" s="47"/>
      <c r="E58" s="47"/>
      <c r="F58" s="39"/>
      <c r="G58" s="44"/>
      <c r="H58" s="47"/>
      <c r="I58" s="44"/>
      <c r="J58" s="43"/>
      <c r="K58" s="43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34"/>
      <c r="C59" s="35"/>
      <c r="D59" s="47"/>
      <c r="E59" s="47"/>
      <c r="F59" s="39"/>
      <c r="G59" s="44"/>
      <c r="H59" s="47"/>
      <c r="I59" s="44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34"/>
      <c r="C60" s="35"/>
      <c r="D60" s="47"/>
      <c r="E60" s="47"/>
      <c r="F60" s="39"/>
      <c r="G60" s="44"/>
      <c r="H60" s="47"/>
      <c r="I60" s="44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34"/>
      <c r="C61" s="35"/>
      <c r="D61" s="47"/>
      <c r="E61" s="47"/>
      <c r="F61" s="39"/>
      <c r="G61" s="44"/>
      <c r="H61" s="47"/>
      <c r="I61" s="44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34"/>
      <c r="C62" s="35"/>
      <c r="D62" s="47"/>
      <c r="E62" s="47"/>
      <c r="F62" s="39"/>
      <c r="G62" s="44"/>
      <c r="H62" s="47"/>
      <c r="I62" s="44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34"/>
      <c r="C63" s="35"/>
      <c r="D63" s="47"/>
      <c r="E63" s="47"/>
      <c r="F63" s="39"/>
      <c r="G63" s="44"/>
      <c r="H63" s="47"/>
      <c r="I63" s="44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34"/>
      <c r="C64" s="35"/>
      <c r="D64" s="47"/>
      <c r="E64" s="47"/>
      <c r="F64" s="39"/>
      <c r="G64" s="44"/>
      <c r="H64" s="47"/>
      <c r="I64" s="44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34"/>
      <c r="C65" s="35"/>
      <c r="D65" s="47"/>
      <c r="E65" s="47"/>
      <c r="F65" s="39"/>
      <c r="G65" s="44"/>
      <c r="H65" s="47"/>
      <c r="I65" s="44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34"/>
      <c r="C66" s="35"/>
      <c r="D66" s="47"/>
      <c r="E66" s="47"/>
      <c r="F66" s="39"/>
      <c r="G66" s="44"/>
      <c r="H66" s="47"/>
      <c r="I66" s="44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34"/>
      <c r="C67" s="35"/>
      <c r="D67" s="47"/>
      <c r="E67" s="47"/>
      <c r="F67" s="39"/>
      <c r="G67" s="44"/>
      <c r="H67" s="47"/>
      <c r="I67" s="44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34"/>
      <c r="C68" s="35"/>
      <c r="D68" s="47"/>
      <c r="E68" s="47"/>
      <c r="F68" s="39"/>
      <c r="G68" s="44"/>
      <c r="H68" s="47"/>
      <c r="I68" s="44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34"/>
      <c r="C69" s="35"/>
      <c r="D69" s="47"/>
      <c r="E69" s="47"/>
      <c r="F69" s="39"/>
      <c r="G69" s="44"/>
      <c r="H69" s="47"/>
      <c r="I69" s="44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34"/>
      <c r="C70" s="35"/>
      <c r="D70" s="47"/>
      <c r="E70" s="47"/>
      <c r="F70" s="39"/>
      <c r="G70" s="44"/>
      <c r="H70" s="47"/>
      <c r="I70" s="44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34"/>
      <c r="C71" s="35"/>
      <c r="D71" s="47"/>
      <c r="E71" s="47"/>
      <c r="F71" s="39"/>
      <c r="G71" s="44"/>
      <c r="H71" s="47"/>
      <c r="I71" s="44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34"/>
      <c r="C72" s="35"/>
      <c r="D72" s="47"/>
      <c r="E72" s="47"/>
      <c r="F72" s="39"/>
      <c r="G72" s="44"/>
      <c r="H72" s="47"/>
      <c r="I72" s="44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34"/>
      <c r="C73" s="35"/>
      <c r="D73" s="47"/>
      <c r="E73" s="47"/>
      <c r="F73" s="39"/>
      <c r="G73" s="44"/>
      <c r="H73" s="47"/>
      <c r="I73" s="44"/>
      <c r="J73" s="43"/>
      <c r="K73" s="43"/>
      <c r="L73" s="43"/>
      <c r="M73" s="4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34"/>
      <c r="C74" s="35"/>
      <c r="D74" s="47"/>
      <c r="E74" s="47"/>
      <c r="F74" s="39"/>
      <c r="G74" s="44"/>
      <c r="H74" s="47"/>
      <c r="I74" s="44"/>
      <c r="J74" s="43"/>
      <c r="K74" s="43"/>
      <c r="L74" s="43"/>
      <c r="M74" s="4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34"/>
      <c r="C75" s="35"/>
      <c r="D75" s="47"/>
      <c r="E75" s="47"/>
      <c r="F75" s="39"/>
      <c r="G75" s="44"/>
      <c r="H75" s="47"/>
      <c r="I75" s="44"/>
      <c r="J75" s="43"/>
      <c r="K75" s="43"/>
      <c r="L75" s="43"/>
      <c r="M75" s="43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34"/>
      <c r="C76" s="35"/>
      <c r="D76" s="47"/>
      <c r="E76" s="47"/>
      <c r="F76" s="39"/>
      <c r="G76" s="44"/>
      <c r="H76" s="47"/>
      <c r="I76" s="44"/>
      <c r="J76" s="43"/>
      <c r="K76" s="43"/>
      <c r="L76" s="43">
        <f t="shared" ref="L76:L77" si="2">(K76-J76)*D76</f>
        <v>0</v>
      </c>
      <c r="M76" s="43">
        <f t="shared" ref="M76:M77" si="3">(K76-J76)*E76</f>
        <v>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34"/>
      <c r="C77" s="35"/>
      <c r="D77" s="47"/>
      <c r="E77" s="47"/>
      <c r="F77" s="39"/>
      <c r="G77" s="44"/>
      <c r="H77" s="47"/>
      <c r="I77" s="44"/>
      <c r="J77" s="43"/>
      <c r="K77" s="43"/>
      <c r="L77" s="43">
        <f t="shared" si="2"/>
        <v>0</v>
      </c>
      <c r="M77" s="43">
        <f t="shared" si="3"/>
        <v>0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6" t="s">
        <v>38</v>
      </c>
      <c r="D79" s="57"/>
      <c r="E79" s="57"/>
      <c r="F79" s="57"/>
      <c r="G79" s="5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9"/>
      <c r="G80" s="60"/>
      <c r="H80" s="43">
        <v>0.0</v>
      </c>
      <c r="I80" s="61" t="s">
        <v>39</v>
      </c>
      <c r="J80" s="62"/>
      <c r="K80" s="62"/>
      <c r="L80" s="62"/>
      <c r="M80" s="63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64"/>
      <c r="D81" s="65"/>
      <c r="E81" s="65"/>
      <c r="F81" s="65"/>
      <c r="G81" s="66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5"/>
      <c r="B82" s="5"/>
      <c r="C82" s="67" t="s">
        <v>40</v>
      </c>
      <c r="D82" s="62"/>
      <c r="E82" s="62"/>
      <c r="F82" s="62"/>
      <c r="G82" s="14"/>
      <c r="H82" s="68">
        <f>SUM(L18:L77)</f>
        <v>1190</v>
      </c>
      <c r="I82" s="69" t="s">
        <v>41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9.5" customHeight="1">
      <c r="A84" s="5"/>
      <c r="B84" s="5"/>
      <c r="C84" s="67" t="s">
        <v>42</v>
      </c>
      <c r="D84" s="62"/>
      <c r="E84" s="62"/>
      <c r="F84" s="62"/>
      <c r="G84" s="63"/>
      <c r="H84" s="68">
        <f>H80+H82</f>
        <v>1190</v>
      </c>
      <c r="I84" s="69" t="s">
        <v>41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75" customHeight="1">
      <c r="A86" s="5"/>
      <c r="B86" s="5"/>
      <c r="C86" s="67" t="s">
        <v>43</v>
      </c>
      <c r="D86" s="62"/>
      <c r="E86" s="62"/>
      <c r="F86" s="62"/>
      <c r="G86" s="63"/>
      <c r="H86" s="68">
        <f>IF(H84&lt;=20000,H82,IF(H80&gt;20000,0,20000-H80))</f>
        <v>1190</v>
      </c>
      <c r="I86" s="69" t="s">
        <v>41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5"/>
      <c r="C88" s="67" t="s">
        <v>44</v>
      </c>
      <c r="D88" s="62"/>
      <c r="E88" s="62"/>
      <c r="F88" s="62"/>
      <c r="G88" s="14"/>
      <c r="H88" s="68">
        <f>IF(H84&gt;20000,H84-H80-H86,0)</f>
        <v>0</v>
      </c>
      <c r="I88" s="69" t="s">
        <v>41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7.25" customHeight="1">
      <c r="A90" s="5"/>
      <c r="B90" s="5"/>
      <c r="C90" s="70" t="s">
        <v>45</v>
      </c>
      <c r="D90" s="71">
        <v>3.79</v>
      </c>
      <c r="E90" s="72" t="s">
        <v>46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5"/>
      <c r="B91" s="5"/>
      <c r="C91" s="32"/>
      <c r="D91" s="71">
        <v>2.23</v>
      </c>
      <c r="E91" s="72" t="s">
        <v>47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30.0" customHeight="1">
      <c r="A93" s="5"/>
      <c r="B93" s="5"/>
      <c r="C93" s="73" t="s">
        <v>48</v>
      </c>
      <c r="D93" s="62"/>
      <c r="E93" s="62"/>
      <c r="F93" s="14"/>
      <c r="G93" s="74">
        <f>(H86*D90)+(H88*D91)</f>
        <v>4510.1</v>
      </c>
      <c r="H93" s="12"/>
      <c r="I93" s="69" t="s">
        <v>41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75" t="s">
        <v>49</v>
      </c>
      <c r="D95" s="76"/>
      <c r="E95" s="77"/>
      <c r="F95" s="78"/>
      <c r="G95" s="76"/>
      <c r="H95" s="76"/>
      <c r="I95" s="7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79"/>
      <c r="D96" s="65"/>
      <c r="E96" s="80"/>
      <c r="F96" s="79"/>
      <c r="G96" s="65"/>
      <c r="H96" s="65"/>
      <c r="I96" s="80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3.25" customHeight="1">
      <c r="A97" s="5"/>
      <c r="B97" s="5"/>
      <c r="C97" s="81" t="s">
        <v>50</v>
      </c>
      <c r="D97" s="15"/>
      <c r="E97" s="12"/>
      <c r="F97" s="82"/>
      <c r="G97" s="15"/>
      <c r="H97" s="15"/>
      <c r="I97" s="12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1">
    <mergeCell ref="A5:D5"/>
    <mergeCell ref="B7:M7"/>
    <mergeCell ref="C9:D9"/>
    <mergeCell ref="H9:I9"/>
    <mergeCell ref="J9:M9"/>
    <mergeCell ref="C10:D10"/>
    <mergeCell ref="H10:I10"/>
    <mergeCell ref="J10:M10"/>
    <mergeCell ref="B14:M14"/>
    <mergeCell ref="B16:B17"/>
    <mergeCell ref="C16:C17"/>
    <mergeCell ref="D16:E16"/>
    <mergeCell ref="F16:G16"/>
    <mergeCell ref="H16:I16"/>
    <mergeCell ref="J16:K16"/>
    <mergeCell ref="L16:M16"/>
    <mergeCell ref="C79:G81"/>
    <mergeCell ref="I80:M80"/>
    <mergeCell ref="C82:G82"/>
    <mergeCell ref="C84:G84"/>
    <mergeCell ref="C86:G86"/>
    <mergeCell ref="C95:E96"/>
    <mergeCell ref="C97:E97"/>
    <mergeCell ref="C88:G88"/>
    <mergeCell ref="C90:C91"/>
    <mergeCell ref="E90:I90"/>
    <mergeCell ref="E91:I91"/>
    <mergeCell ref="C93:F93"/>
    <mergeCell ref="G93:H93"/>
    <mergeCell ref="F95:I96"/>
    <mergeCell ref="F97:I97"/>
  </mergeCells>
  <dataValidations>
    <dataValidation type="decimal" allowBlank="1" showInputMessage="1" showErrorMessage="1" prompt="Ugyldigt tal - Tallet på kilometertælleren skal være mellem 0 and 999.999,9" sqref="J18:K29">
      <formula1>0.0</formula1>
      <formula2>999999.9</formula2>
    </dataValidation>
  </dataValidations>
  <hyperlinks>
    <hyperlink r:id="rId1" ref="A13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0.13"/>
    <col customWidth="1" min="3" max="3" width="62.25"/>
    <col customWidth="1" min="4" max="4" width="12.25"/>
    <col customWidth="1" min="5" max="5" width="12.38"/>
    <col customWidth="1" min="6" max="6" width="20.88"/>
    <col customWidth="1" min="7" max="7" width="11.25"/>
    <col customWidth="1" min="8" max="8" width="19.38"/>
    <col customWidth="1" min="9" max="9" width="11.63"/>
    <col customWidth="1" min="10" max="10" width="13.38"/>
    <col customWidth="1" min="11" max="11" width="14.13"/>
    <col customWidth="1" min="12" max="13" width="14.5"/>
    <col customWidth="1" min="14" max="14" width="19.5"/>
    <col customWidth="1" min="15" max="26" width="8.75"/>
  </cols>
  <sheetData>
    <row r="1" ht="12.75" customHeight="1">
      <c r="A1" s="5"/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9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8"/>
      <c r="B9" s="10" t="s">
        <v>4</v>
      </c>
      <c r="C9" s="88">
        <v>45352.0</v>
      </c>
      <c r="D9" s="12"/>
      <c r="E9" s="9"/>
      <c r="F9" s="9"/>
      <c r="G9" s="9"/>
      <c r="H9" s="13" t="s">
        <v>6</v>
      </c>
      <c r="I9" s="14"/>
      <c r="J9" s="11" t="s">
        <v>7</v>
      </c>
      <c r="K9" s="15"/>
      <c r="L9" s="15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8"/>
      <c r="B10" s="16" t="s">
        <v>8</v>
      </c>
      <c r="C10" s="101" t="s">
        <v>63</v>
      </c>
      <c r="D10" s="12"/>
      <c r="E10" s="9"/>
      <c r="F10" s="9"/>
      <c r="G10" s="9"/>
      <c r="H10" s="13" t="s">
        <v>10</v>
      </c>
      <c r="I10" s="14"/>
      <c r="J10" s="17" t="s">
        <v>11</v>
      </c>
      <c r="K10" s="18"/>
      <c r="L10" s="18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20" t="s">
        <v>12</v>
      </c>
      <c r="K11" s="21">
        <f>SUM(L18:L31)</f>
        <v>650</v>
      </c>
      <c r="L11" s="9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8"/>
      <c r="B12" s="9"/>
      <c r="C12" s="9"/>
      <c r="D12" s="9"/>
      <c r="E12" s="9"/>
      <c r="F12" s="9"/>
      <c r="G12" s="9"/>
      <c r="H12" s="9"/>
      <c r="I12" s="9"/>
      <c r="J12" s="20" t="s">
        <v>13</v>
      </c>
      <c r="K12" s="89">
        <v>3.79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90" t="s">
        <v>53</v>
      </c>
      <c r="B13" s="8"/>
      <c r="C13" s="8"/>
      <c r="D13" s="8"/>
      <c r="E13" s="5"/>
      <c r="F13" s="5"/>
      <c r="G13" s="5"/>
      <c r="H13" s="5"/>
      <c r="I13" s="5"/>
      <c r="J13" s="20" t="s">
        <v>15</v>
      </c>
      <c r="K13" s="22">
        <f>SUM(K11*K12)</f>
        <v>2463.5</v>
      </c>
      <c r="L13" s="10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24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27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5.25" customHeight="1">
      <c r="A16" s="5"/>
      <c r="B16" s="29" t="s">
        <v>17</v>
      </c>
      <c r="C16" s="30" t="s">
        <v>18</v>
      </c>
      <c r="D16" s="31" t="s">
        <v>19</v>
      </c>
      <c r="E16" s="26"/>
      <c r="F16" s="31" t="s">
        <v>20</v>
      </c>
      <c r="G16" s="26"/>
      <c r="H16" s="31" t="s">
        <v>21</v>
      </c>
      <c r="I16" s="26"/>
      <c r="J16" s="31" t="s">
        <v>22</v>
      </c>
      <c r="K16" s="26"/>
      <c r="L16" s="104"/>
      <c r="M16" s="10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32"/>
      <c r="C17" s="32"/>
      <c r="D17" s="33" t="s">
        <v>24</v>
      </c>
      <c r="E17" s="33" t="s">
        <v>25</v>
      </c>
      <c r="F17" s="33" t="s">
        <v>26</v>
      </c>
      <c r="G17" s="33" t="s">
        <v>27</v>
      </c>
      <c r="H17" s="33" t="s">
        <v>26</v>
      </c>
      <c r="I17" s="33" t="s">
        <v>27</v>
      </c>
      <c r="J17" s="33" t="s">
        <v>28</v>
      </c>
      <c r="K17" s="33" t="s">
        <v>29</v>
      </c>
      <c r="L17" s="105" t="s">
        <v>24</v>
      </c>
      <c r="M17" s="33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5"/>
      <c r="B18" s="102">
        <v>45352.0</v>
      </c>
      <c r="C18" s="35" t="s">
        <v>52</v>
      </c>
      <c r="D18" s="36">
        <v>1.0</v>
      </c>
      <c r="E18" s="47"/>
      <c r="F18" s="3" t="s">
        <v>31</v>
      </c>
      <c r="G18" s="44">
        <v>2791.0</v>
      </c>
      <c r="H18" s="39" t="s">
        <v>32</v>
      </c>
      <c r="I18" s="40">
        <v>2750.0</v>
      </c>
      <c r="J18" s="41">
        <v>39.0</v>
      </c>
      <c r="K18" s="42">
        <v>39.0</v>
      </c>
      <c r="L18" s="106">
        <f t="shared" ref="L18:L26" si="1">SUM(J18:K18)</f>
        <v>78</v>
      </c>
      <c r="M18" s="4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5"/>
      <c r="B19" s="102">
        <v>45358.0</v>
      </c>
      <c r="C19" s="35" t="s">
        <v>52</v>
      </c>
      <c r="D19" s="36">
        <v>1.0</v>
      </c>
      <c r="E19" s="47"/>
      <c r="F19" s="3" t="s">
        <v>31</v>
      </c>
      <c r="G19" s="44">
        <v>2791.0</v>
      </c>
      <c r="H19" s="39" t="s">
        <v>32</v>
      </c>
      <c r="I19" s="40">
        <v>2750.0</v>
      </c>
      <c r="J19" s="41">
        <v>39.0</v>
      </c>
      <c r="K19" s="42">
        <v>39.0</v>
      </c>
      <c r="L19" s="106">
        <f t="shared" si="1"/>
        <v>78</v>
      </c>
      <c r="M19" s="4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102">
        <v>45364.0</v>
      </c>
      <c r="C20" s="35" t="s">
        <v>52</v>
      </c>
      <c r="D20" s="36">
        <v>1.0</v>
      </c>
      <c r="E20" s="47"/>
      <c r="F20" s="3" t="s">
        <v>31</v>
      </c>
      <c r="G20" s="44">
        <v>2791.0</v>
      </c>
      <c r="H20" s="39" t="s">
        <v>32</v>
      </c>
      <c r="I20" s="40">
        <v>2750.0</v>
      </c>
      <c r="J20" s="41">
        <v>39.0</v>
      </c>
      <c r="K20" s="42">
        <v>39.0</v>
      </c>
      <c r="L20" s="106">
        <f t="shared" si="1"/>
        <v>78</v>
      </c>
      <c r="M20" s="4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102">
        <v>45370.0</v>
      </c>
      <c r="C21" s="35" t="s">
        <v>52</v>
      </c>
      <c r="D21" s="36">
        <v>1.0</v>
      </c>
      <c r="E21" s="47"/>
      <c r="F21" s="3" t="s">
        <v>31</v>
      </c>
      <c r="G21" s="44">
        <v>2791.0</v>
      </c>
      <c r="H21" s="39" t="s">
        <v>32</v>
      </c>
      <c r="I21" s="40">
        <v>2750.0</v>
      </c>
      <c r="J21" s="41">
        <v>39.0</v>
      </c>
      <c r="K21" s="42">
        <v>39.0</v>
      </c>
      <c r="L21" s="106">
        <f t="shared" si="1"/>
        <v>78</v>
      </c>
      <c r="M21" s="4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102">
        <v>45376.0</v>
      </c>
      <c r="C22" s="35" t="s">
        <v>52</v>
      </c>
      <c r="D22" s="36">
        <v>1.0</v>
      </c>
      <c r="E22" s="47"/>
      <c r="F22" s="3" t="s">
        <v>31</v>
      </c>
      <c r="G22" s="44">
        <v>2791.0</v>
      </c>
      <c r="H22" s="39" t="s">
        <v>32</v>
      </c>
      <c r="I22" s="40">
        <v>2750.0</v>
      </c>
      <c r="J22" s="41">
        <v>39.0</v>
      </c>
      <c r="K22" s="42">
        <v>39.0</v>
      </c>
      <c r="L22" s="106">
        <f t="shared" si="1"/>
        <v>78</v>
      </c>
      <c r="M22" s="4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102">
        <v>45382.0</v>
      </c>
      <c r="C23" s="93" t="s">
        <v>70</v>
      </c>
      <c r="D23" s="94">
        <v>1.0</v>
      </c>
      <c r="E23" s="47"/>
      <c r="F23" s="1" t="s">
        <v>31</v>
      </c>
      <c r="G23" s="44">
        <v>2791.0</v>
      </c>
      <c r="H23" s="95" t="s">
        <v>71</v>
      </c>
      <c r="I23" s="40">
        <v>2450.0</v>
      </c>
      <c r="J23" s="96">
        <v>13.0</v>
      </c>
      <c r="K23" s="97">
        <v>13.0</v>
      </c>
      <c r="L23" s="106">
        <f t="shared" si="1"/>
        <v>26</v>
      </c>
      <c r="M23" s="4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102">
        <v>45388.0</v>
      </c>
      <c r="C24" s="35" t="s">
        <v>52</v>
      </c>
      <c r="D24" s="36">
        <v>1.0</v>
      </c>
      <c r="E24" s="47"/>
      <c r="F24" s="3" t="s">
        <v>31</v>
      </c>
      <c r="G24" s="44">
        <v>2791.0</v>
      </c>
      <c r="H24" s="39" t="s">
        <v>32</v>
      </c>
      <c r="I24" s="40">
        <v>2750.0</v>
      </c>
      <c r="J24" s="41">
        <v>39.0</v>
      </c>
      <c r="K24" s="42">
        <v>39.0</v>
      </c>
      <c r="L24" s="106">
        <f t="shared" si="1"/>
        <v>78</v>
      </c>
      <c r="M24" s="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102">
        <v>45394.0</v>
      </c>
      <c r="C25" s="35" t="s">
        <v>52</v>
      </c>
      <c r="D25" s="36">
        <v>1.0</v>
      </c>
      <c r="E25" s="47"/>
      <c r="F25" s="3" t="s">
        <v>31</v>
      </c>
      <c r="G25" s="44">
        <v>2791.0</v>
      </c>
      <c r="H25" s="39" t="s">
        <v>32</v>
      </c>
      <c r="I25" s="40">
        <v>2750.0</v>
      </c>
      <c r="J25" s="41">
        <v>39.0</v>
      </c>
      <c r="K25" s="42">
        <v>39.0</v>
      </c>
      <c r="L25" s="106">
        <f t="shared" si="1"/>
        <v>78</v>
      </c>
      <c r="M25" s="4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102">
        <v>45400.0</v>
      </c>
      <c r="C26" s="35" t="s">
        <v>52</v>
      </c>
      <c r="D26" s="36">
        <v>1.0</v>
      </c>
      <c r="E26" s="47"/>
      <c r="F26" s="3" t="s">
        <v>31</v>
      </c>
      <c r="G26" s="44">
        <v>2791.0</v>
      </c>
      <c r="H26" s="39" t="s">
        <v>32</v>
      </c>
      <c r="I26" s="40">
        <v>2750.0</v>
      </c>
      <c r="J26" s="41">
        <v>39.0</v>
      </c>
      <c r="K26" s="42">
        <v>39.0</v>
      </c>
      <c r="L26" s="106">
        <f t="shared" si="1"/>
        <v>78</v>
      </c>
      <c r="M26" s="4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102">
        <v>45406.0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34"/>
      <c r="C28" s="35"/>
      <c r="D28" s="36"/>
      <c r="E28" s="47"/>
      <c r="G28" s="44"/>
      <c r="H28" s="39"/>
      <c r="I28" s="44"/>
      <c r="J28" s="41"/>
      <c r="K28" s="42"/>
      <c r="L28" s="106"/>
      <c r="M28" s="4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34"/>
      <c r="C29" s="35"/>
      <c r="D29" s="47"/>
      <c r="E29" s="47"/>
      <c r="F29" s="39"/>
      <c r="G29" s="44"/>
      <c r="H29" s="47"/>
      <c r="I29" s="44"/>
      <c r="J29" s="43"/>
      <c r="K29" s="43"/>
      <c r="L29" s="43"/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34"/>
      <c r="C30" s="35"/>
      <c r="D30" s="47"/>
      <c r="E30" s="47"/>
      <c r="F30" s="39"/>
      <c r="G30" s="44"/>
      <c r="H30" s="47"/>
      <c r="I30" s="44"/>
      <c r="J30" s="43"/>
      <c r="K30" s="43"/>
      <c r="L30" s="43"/>
      <c r="M30" s="4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34"/>
      <c r="C31" s="35"/>
      <c r="D31" s="47"/>
      <c r="E31" s="47"/>
      <c r="F31" s="39"/>
      <c r="G31" s="44"/>
      <c r="H31" s="47"/>
      <c r="I31" s="44"/>
      <c r="J31" s="43"/>
      <c r="K31" s="43"/>
      <c r="L31" s="43"/>
      <c r="M31" s="4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34"/>
      <c r="C32" s="35"/>
      <c r="D32" s="47"/>
      <c r="E32" s="47"/>
      <c r="F32" s="39"/>
      <c r="G32" s="44"/>
      <c r="H32" s="47"/>
      <c r="I32" s="44"/>
      <c r="J32" s="43"/>
      <c r="K32" s="43"/>
      <c r="L32" s="43"/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34"/>
      <c r="C33" s="35"/>
      <c r="D33" s="47"/>
      <c r="E33" s="47"/>
      <c r="F33" s="39"/>
      <c r="G33" s="44"/>
      <c r="H33" s="47"/>
      <c r="I33" s="44"/>
      <c r="J33" s="43"/>
      <c r="K33" s="43"/>
      <c r="L33" s="43"/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34"/>
      <c r="C34" s="35"/>
      <c r="D34" s="47"/>
      <c r="E34" s="47"/>
      <c r="F34" s="39"/>
      <c r="G34" s="44"/>
      <c r="H34" s="47"/>
      <c r="I34" s="44"/>
      <c r="J34" s="43"/>
      <c r="K34" s="43"/>
      <c r="L34" s="43"/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34"/>
      <c r="C35" s="35"/>
      <c r="D35" s="47"/>
      <c r="E35" s="47"/>
      <c r="F35" s="39"/>
      <c r="G35" s="44"/>
      <c r="H35" s="47"/>
      <c r="I35" s="44"/>
      <c r="J35" s="43"/>
      <c r="K35" s="43"/>
      <c r="L35" s="43"/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34"/>
      <c r="C36" s="35"/>
      <c r="D36" s="47"/>
      <c r="E36" s="47"/>
      <c r="F36" s="39"/>
      <c r="G36" s="44"/>
      <c r="H36" s="47"/>
      <c r="I36" s="44"/>
      <c r="J36" s="43"/>
      <c r="K36" s="43"/>
      <c r="L36" s="43"/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34"/>
      <c r="C37" s="35"/>
      <c r="D37" s="47"/>
      <c r="E37" s="47"/>
      <c r="F37" s="39"/>
      <c r="G37" s="44"/>
      <c r="H37" s="47"/>
      <c r="I37" s="44"/>
      <c r="J37" s="43"/>
      <c r="K37" s="43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34"/>
      <c r="C38" s="35"/>
      <c r="D38" s="47"/>
      <c r="E38" s="47"/>
      <c r="F38" s="39"/>
      <c r="G38" s="44"/>
      <c r="H38" s="47"/>
      <c r="I38" s="44"/>
      <c r="J38" s="43"/>
      <c r="K38" s="43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34"/>
      <c r="C39" s="35"/>
      <c r="D39" s="47"/>
      <c r="E39" s="47"/>
      <c r="F39" s="39"/>
      <c r="G39" s="44"/>
      <c r="H39" s="47"/>
      <c r="I39" s="44"/>
      <c r="J39" s="43"/>
      <c r="K39" s="43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34"/>
      <c r="C40" s="35"/>
      <c r="D40" s="47"/>
      <c r="E40" s="47"/>
      <c r="F40" s="39"/>
      <c r="G40" s="44"/>
      <c r="H40" s="47"/>
      <c r="I40" s="44"/>
      <c r="J40" s="43"/>
      <c r="K40" s="43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34"/>
      <c r="C41" s="35"/>
      <c r="D41" s="47"/>
      <c r="E41" s="47"/>
      <c r="F41" s="39"/>
      <c r="G41" s="44"/>
      <c r="H41" s="47"/>
      <c r="I41" s="44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34"/>
      <c r="C42" s="35"/>
      <c r="D42" s="47"/>
      <c r="E42" s="47"/>
      <c r="F42" s="39"/>
      <c r="G42" s="44"/>
      <c r="H42" s="47"/>
      <c r="I42" s="44"/>
      <c r="J42" s="43"/>
      <c r="K42" s="43"/>
      <c r="L42" s="43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34"/>
      <c r="C43" s="35"/>
      <c r="D43" s="47"/>
      <c r="E43" s="47"/>
      <c r="F43" s="39"/>
      <c r="G43" s="44"/>
      <c r="H43" s="47"/>
      <c r="I43" s="44"/>
      <c r="J43" s="43"/>
      <c r="K43" s="43"/>
      <c r="L43" s="43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34"/>
      <c r="C44" s="35"/>
      <c r="D44" s="47"/>
      <c r="E44" s="47"/>
      <c r="F44" s="39"/>
      <c r="G44" s="44"/>
      <c r="H44" s="47"/>
      <c r="I44" s="44"/>
      <c r="J44" s="43"/>
      <c r="K44" s="43"/>
      <c r="L44" s="43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34"/>
      <c r="C45" s="53"/>
      <c r="D45" s="54"/>
      <c r="E45" s="54"/>
      <c r="F45" s="39"/>
      <c r="G45" s="44"/>
      <c r="H45" s="54"/>
      <c r="I45" s="44"/>
      <c r="J45" s="55"/>
      <c r="K45" s="55"/>
      <c r="L45" s="107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34"/>
      <c r="C46" s="35"/>
      <c r="D46" s="47"/>
      <c r="E46" s="47"/>
      <c r="F46" s="39"/>
      <c r="G46" s="44"/>
      <c r="H46" s="47"/>
      <c r="I46" s="44"/>
      <c r="J46" s="43"/>
      <c r="K46" s="43"/>
      <c r="L46" s="43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34"/>
      <c r="C47" s="35"/>
      <c r="D47" s="47"/>
      <c r="E47" s="47"/>
      <c r="F47" s="39"/>
      <c r="G47" s="44"/>
      <c r="H47" s="47"/>
      <c r="I47" s="44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34"/>
      <c r="C48" s="35"/>
      <c r="D48" s="47"/>
      <c r="E48" s="47"/>
      <c r="F48" s="39"/>
      <c r="G48" s="44"/>
      <c r="H48" s="47"/>
      <c r="I48" s="44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34"/>
      <c r="C49" s="35"/>
      <c r="D49" s="47"/>
      <c r="E49" s="47"/>
      <c r="F49" s="39"/>
      <c r="G49" s="44"/>
      <c r="H49" s="47"/>
      <c r="I49" s="44"/>
      <c r="J49" s="43"/>
      <c r="K49" s="43"/>
      <c r="L49" s="43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34"/>
      <c r="C50" s="35"/>
      <c r="D50" s="47"/>
      <c r="E50" s="47"/>
      <c r="F50" s="39"/>
      <c r="G50" s="44"/>
      <c r="H50" s="47"/>
      <c r="I50" s="44"/>
      <c r="J50" s="43"/>
      <c r="K50" s="43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34"/>
      <c r="C51" s="35"/>
      <c r="D51" s="47"/>
      <c r="E51" s="47"/>
      <c r="F51" s="39"/>
      <c r="G51" s="44"/>
      <c r="H51" s="47"/>
      <c r="I51" s="44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34"/>
      <c r="C52" s="35"/>
      <c r="D52" s="47"/>
      <c r="E52" s="47"/>
      <c r="F52" s="39"/>
      <c r="G52" s="44"/>
      <c r="H52" s="47"/>
      <c r="I52" s="44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34"/>
      <c r="C53" s="35"/>
      <c r="D53" s="47"/>
      <c r="E53" s="47"/>
      <c r="F53" s="39"/>
      <c r="G53" s="44"/>
      <c r="H53" s="47"/>
      <c r="I53" s="44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34"/>
      <c r="C54" s="35"/>
      <c r="D54" s="47"/>
      <c r="E54" s="47"/>
      <c r="F54" s="39"/>
      <c r="G54" s="44"/>
      <c r="H54" s="47"/>
      <c r="I54" s="44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34"/>
      <c r="C55" s="35"/>
      <c r="D55" s="47"/>
      <c r="E55" s="47"/>
      <c r="F55" s="39"/>
      <c r="G55" s="44"/>
      <c r="H55" s="47"/>
      <c r="I55" s="44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34"/>
      <c r="C56" s="35"/>
      <c r="D56" s="47"/>
      <c r="E56" s="47"/>
      <c r="F56" s="39"/>
      <c r="G56" s="44"/>
      <c r="H56" s="47"/>
      <c r="I56" s="44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34"/>
      <c r="C57" s="35"/>
      <c r="D57" s="47"/>
      <c r="E57" s="47"/>
      <c r="F57" s="39"/>
      <c r="G57" s="44"/>
      <c r="H57" s="47"/>
      <c r="I57" s="44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34"/>
      <c r="C58" s="35"/>
      <c r="D58" s="47"/>
      <c r="E58" s="47"/>
      <c r="F58" s="39"/>
      <c r="G58" s="44"/>
      <c r="H58" s="47"/>
      <c r="I58" s="44"/>
      <c r="J58" s="43"/>
      <c r="K58" s="43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34"/>
      <c r="C59" s="35"/>
      <c r="D59" s="47"/>
      <c r="E59" s="47"/>
      <c r="F59" s="39"/>
      <c r="G59" s="44"/>
      <c r="H59" s="47"/>
      <c r="I59" s="44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34"/>
      <c r="C60" s="35"/>
      <c r="D60" s="47"/>
      <c r="E60" s="47"/>
      <c r="F60" s="39"/>
      <c r="G60" s="44"/>
      <c r="H60" s="47"/>
      <c r="I60" s="44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34"/>
      <c r="C61" s="35"/>
      <c r="D61" s="47"/>
      <c r="E61" s="47"/>
      <c r="F61" s="39"/>
      <c r="G61" s="44"/>
      <c r="H61" s="47"/>
      <c r="I61" s="44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34"/>
      <c r="C62" s="35"/>
      <c r="D62" s="47"/>
      <c r="E62" s="47"/>
      <c r="F62" s="39"/>
      <c r="G62" s="44"/>
      <c r="H62" s="47"/>
      <c r="I62" s="44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34"/>
      <c r="C63" s="35"/>
      <c r="D63" s="47"/>
      <c r="E63" s="47"/>
      <c r="F63" s="39"/>
      <c r="G63" s="44"/>
      <c r="H63" s="47"/>
      <c r="I63" s="44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34"/>
      <c r="C64" s="35"/>
      <c r="D64" s="47"/>
      <c r="E64" s="47"/>
      <c r="F64" s="39"/>
      <c r="G64" s="44"/>
      <c r="H64" s="47"/>
      <c r="I64" s="44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34"/>
      <c r="C65" s="35"/>
      <c r="D65" s="47"/>
      <c r="E65" s="47"/>
      <c r="F65" s="39"/>
      <c r="G65" s="44"/>
      <c r="H65" s="47"/>
      <c r="I65" s="44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34"/>
      <c r="C66" s="35"/>
      <c r="D66" s="47"/>
      <c r="E66" s="47"/>
      <c r="F66" s="39"/>
      <c r="G66" s="44"/>
      <c r="H66" s="47"/>
      <c r="I66" s="44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34"/>
      <c r="C67" s="35"/>
      <c r="D67" s="47"/>
      <c r="E67" s="47"/>
      <c r="F67" s="39"/>
      <c r="G67" s="44"/>
      <c r="H67" s="47"/>
      <c r="I67" s="44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34"/>
      <c r="C68" s="35"/>
      <c r="D68" s="47"/>
      <c r="E68" s="47"/>
      <c r="F68" s="39"/>
      <c r="G68" s="44"/>
      <c r="H68" s="47"/>
      <c r="I68" s="44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34"/>
      <c r="C69" s="35"/>
      <c r="D69" s="47"/>
      <c r="E69" s="47"/>
      <c r="F69" s="39"/>
      <c r="G69" s="44"/>
      <c r="H69" s="47"/>
      <c r="I69" s="44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34"/>
      <c r="C70" s="35"/>
      <c r="D70" s="47"/>
      <c r="E70" s="47"/>
      <c r="F70" s="39"/>
      <c r="G70" s="44"/>
      <c r="H70" s="47"/>
      <c r="I70" s="44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34"/>
      <c r="C71" s="35"/>
      <c r="D71" s="47"/>
      <c r="E71" s="47"/>
      <c r="F71" s="39"/>
      <c r="G71" s="44"/>
      <c r="H71" s="47"/>
      <c r="I71" s="44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34"/>
      <c r="C72" s="35"/>
      <c r="D72" s="47"/>
      <c r="E72" s="47"/>
      <c r="F72" s="39"/>
      <c r="G72" s="44"/>
      <c r="H72" s="47"/>
      <c r="I72" s="44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34"/>
      <c r="C73" s="35"/>
      <c r="D73" s="47"/>
      <c r="E73" s="47"/>
      <c r="F73" s="39"/>
      <c r="G73" s="44"/>
      <c r="H73" s="47"/>
      <c r="I73" s="44"/>
      <c r="J73" s="43"/>
      <c r="K73" s="43"/>
      <c r="L73" s="43"/>
      <c r="M73" s="4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34"/>
      <c r="C74" s="35"/>
      <c r="D74" s="47"/>
      <c r="E74" s="47"/>
      <c r="F74" s="39"/>
      <c r="G74" s="44"/>
      <c r="H74" s="47"/>
      <c r="I74" s="44"/>
      <c r="J74" s="43"/>
      <c r="K74" s="43"/>
      <c r="L74" s="43"/>
      <c r="M74" s="4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34"/>
      <c r="C75" s="35"/>
      <c r="D75" s="47"/>
      <c r="E75" s="47"/>
      <c r="F75" s="39"/>
      <c r="G75" s="44"/>
      <c r="H75" s="47"/>
      <c r="I75" s="44"/>
      <c r="J75" s="43"/>
      <c r="K75" s="43"/>
      <c r="L75" s="43"/>
      <c r="M75" s="43">
        <f t="shared" ref="M75:M76" si="2">(K75-J75)*E75</f>
        <v>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34"/>
      <c r="C76" s="35"/>
      <c r="D76" s="47"/>
      <c r="E76" s="47"/>
      <c r="F76" s="39"/>
      <c r="G76" s="44"/>
      <c r="H76" s="47"/>
      <c r="I76" s="44"/>
      <c r="J76" s="43"/>
      <c r="K76" s="43"/>
      <c r="L76" s="43"/>
      <c r="M76" s="43">
        <f t="shared" si="2"/>
        <v>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6" t="s">
        <v>38</v>
      </c>
      <c r="D78" s="57"/>
      <c r="E78" s="57"/>
      <c r="F78" s="57"/>
      <c r="G78" s="5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9"/>
      <c r="G79" s="60"/>
      <c r="H79" s="43">
        <v>0.0</v>
      </c>
      <c r="I79" s="61" t="s">
        <v>39</v>
      </c>
      <c r="J79" s="62"/>
      <c r="K79" s="62"/>
      <c r="L79" s="62"/>
      <c r="M79" s="6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64"/>
      <c r="D80" s="65"/>
      <c r="E80" s="65"/>
      <c r="F80" s="65"/>
      <c r="G80" s="6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5"/>
      <c r="C81" s="67" t="s">
        <v>40</v>
      </c>
      <c r="D81" s="62"/>
      <c r="E81" s="62"/>
      <c r="F81" s="62"/>
      <c r="G81" s="14"/>
      <c r="H81" s="68" t="str">
        <f>SUM(#REF!)</f>
        <v>#REF!</v>
      </c>
      <c r="I81" s="69" t="s">
        <v>41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5"/>
      <c r="B83" s="5"/>
      <c r="C83" s="67" t="s">
        <v>42</v>
      </c>
      <c r="D83" s="62"/>
      <c r="E83" s="62"/>
      <c r="F83" s="62"/>
      <c r="G83" s="63"/>
      <c r="H83" s="68" t="str">
        <f>H79+H81</f>
        <v>#REF!</v>
      </c>
      <c r="I83" s="69" t="s">
        <v>41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75" customHeight="1">
      <c r="A85" s="5"/>
      <c r="B85" s="5"/>
      <c r="C85" s="67" t="s">
        <v>43</v>
      </c>
      <c r="D85" s="62"/>
      <c r="E85" s="62"/>
      <c r="F85" s="62"/>
      <c r="G85" s="63"/>
      <c r="H85" s="68" t="str">
        <f>IF(H83&lt;=20000,H81,IF(H79&gt;20000,0,20000-H79))</f>
        <v>#REF!</v>
      </c>
      <c r="I85" s="69" t="s">
        <v>41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5"/>
      <c r="C87" s="67" t="s">
        <v>44</v>
      </c>
      <c r="D87" s="62"/>
      <c r="E87" s="62"/>
      <c r="F87" s="62"/>
      <c r="G87" s="14"/>
      <c r="H87" s="68" t="str">
        <f>IF(H83&gt;20000,H83-H79-H85,0)</f>
        <v>#REF!</v>
      </c>
      <c r="I87" s="69" t="s">
        <v>41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7.25" customHeight="1">
      <c r="A89" s="5"/>
      <c r="B89" s="5"/>
      <c r="C89" s="70" t="s">
        <v>45</v>
      </c>
      <c r="D89" s="71">
        <v>3.79</v>
      </c>
      <c r="E89" s="72" t="s">
        <v>46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32"/>
      <c r="D90" s="71">
        <v>2.23</v>
      </c>
      <c r="E90" s="72" t="s">
        <v>47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30.0" customHeight="1">
      <c r="A92" s="5"/>
      <c r="B92" s="5"/>
      <c r="C92" s="73" t="s">
        <v>48</v>
      </c>
      <c r="D92" s="62"/>
      <c r="E92" s="62"/>
      <c r="F92" s="14"/>
      <c r="G92" s="74" t="str">
        <f>(H85*D89)+(H87*D90)</f>
        <v>#REF!</v>
      </c>
      <c r="H92" s="12"/>
      <c r="I92" s="69" t="s">
        <v>41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75" t="s">
        <v>49</v>
      </c>
      <c r="D94" s="76"/>
      <c r="E94" s="77"/>
      <c r="F94" s="78"/>
      <c r="G94" s="76"/>
      <c r="H94" s="76"/>
      <c r="I94" s="7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79"/>
      <c r="D95" s="65"/>
      <c r="E95" s="80"/>
      <c r="F95" s="79"/>
      <c r="G95" s="65"/>
      <c r="H95" s="65"/>
      <c r="I95" s="80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3.25" customHeight="1">
      <c r="A96" s="5"/>
      <c r="B96" s="5"/>
      <c r="C96" s="81" t="s">
        <v>50</v>
      </c>
      <c r="D96" s="15"/>
      <c r="E96" s="12"/>
      <c r="F96" s="82"/>
      <c r="G96" s="15"/>
      <c r="H96" s="15"/>
      <c r="I96" s="12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0">
    <mergeCell ref="A5:D5"/>
    <mergeCell ref="B7:M7"/>
    <mergeCell ref="C9:D9"/>
    <mergeCell ref="H9:I9"/>
    <mergeCell ref="J9:M9"/>
    <mergeCell ref="C10:D10"/>
    <mergeCell ref="H10:I10"/>
    <mergeCell ref="J10:M10"/>
    <mergeCell ref="B14:M14"/>
    <mergeCell ref="B16:B17"/>
    <mergeCell ref="C16:C17"/>
    <mergeCell ref="D16:E16"/>
    <mergeCell ref="H16:I16"/>
    <mergeCell ref="J16:K16"/>
    <mergeCell ref="F16:G16"/>
    <mergeCell ref="C78:G80"/>
    <mergeCell ref="I79:M79"/>
    <mergeCell ref="C81:G81"/>
    <mergeCell ref="C83:G83"/>
    <mergeCell ref="C85:G85"/>
    <mergeCell ref="C87:G87"/>
    <mergeCell ref="C96:E96"/>
    <mergeCell ref="F96:I96"/>
    <mergeCell ref="C89:C90"/>
    <mergeCell ref="E89:I89"/>
    <mergeCell ref="E90:I90"/>
    <mergeCell ref="C92:F92"/>
    <mergeCell ref="G92:H92"/>
    <mergeCell ref="C94:E95"/>
    <mergeCell ref="F94:I95"/>
  </mergeCells>
  <dataValidations>
    <dataValidation type="decimal" allowBlank="1" showInputMessage="1" showErrorMessage="1" prompt="Ugyldigt tal - Tallet på kilometertælleren skal være mellem 0 and 999.999,9" sqref="J18:K26 J28:K28">
      <formula1>0.0</formula1>
      <formula2>999999.9</formula2>
    </dataValidation>
  </dataValidations>
  <hyperlinks>
    <hyperlink r:id="rId1" ref="A13"/>
  </hyperlinks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0.13"/>
    <col customWidth="1" min="3" max="3" width="62.25"/>
    <col customWidth="1" min="4" max="4" width="12.25"/>
    <col customWidth="1" min="5" max="5" width="12.38"/>
    <col customWidth="1" min="6" max="6" width="20.88"/>
    <col customWidth="1" min="7" max="7" width="11.25"/>
    <col customWidth="1" min="8" max="8" width="19.38"/>
    <col customWidth="1" min="9" max="9" width="11.63"/>
    <col customWidth="1" min="10" max="10" width="13.38"/>
    <col customWidth="1" min="11" max="11" width="14.13"/>
    <col customWidth="1" min="12" max="13" width="14.5"/>
    <col customWidth="1" min="14" max="14" width="19.5"/>
    <col customWidth="1" min="15" max="26" width="8.75"/>
  </cols>
  <sheetData>
    <row r="1" ht="12.75" customHeight="1">
      <c r="A1" s="5"/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9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8"/>
      <c r="B9" s="10" t="s">
        <v>4</v>
      </c>
      <c r="C9" s="88">
        <v>45383.0</v>
      </c>
      <c r="D9" s="12"/>
      <c r="E9" s="9"/>
      <c r="F9" s="9"/>
      <c r="G9" s="9"/>
      <c r="H9" s="13" t="s">
        <v>6</v>
      </c>
      <c r="I9" s="14"/>
      <c r="J9" s="11" t="s">
        <v>7</v>
      </c>
      <c r="K9" s="15"/>
      <c r="L9" s="15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8"/>
      <c r="B10" s="16" t="s">
        <v>8</v>
      </c>
      <c r="C10" s="101" t="s">
        <v>63</v>
      </c>
      <c r="D10" s="12"/>
      <c r="E10" s="9"/>
      <c r="F10" s="9"/>
      <c r="G10" s="9"/>
      <c r="H10" s="13" t="s">
        <v>10</v>
      </c>
      <c r="I10" s="14"/>
      <c r="J10" s="17" t="s">
        <v>11</v>
      </c>
      <c r="K10" s="18"/>
      <c r="L10" s="18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20" t="s">
        <v>12</v>
      </c>
      <c r="K11" s="21">
        <f>SUM(L18:L31)</f>
        <v>640</v>
      </c>
      <c r="L11" s="9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8"/>
      <c r="B12" s="9"/>
      <c r="C12" s="9"/>
      <c r="D12" s="9"/>
      <c r="E12" s="9"/>
      <c r="F12" s="9"/>
      <c r="G12" s="9"/>
      <c r="H12" s="9"/>
      <c r="I12" s="9"/>
      <c r="J12" s="20" t="s">
        <v>13</v>
      </c>
      <c r="K12" s="89">
        <v>3.79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90" t="s">
        <v>53</v>
      </c>
      <c r="B13" s="8"/>
      <c r="C13" s="8"/>
      <c r="D13" s="8"/>
      <c r="E13" s="5"/>
      <c r="F13" s="5"/>
      <c r="G13" s="5"/>
      <c r="H13" s="5"/>
      <c r="I13" s="5"/>
      <c r="J13" s="20" t="s">
        <v>15</v>
      </c>
      <c r="K13" s="22">
        <f>SUM(K11*K12)</f>
        <v>2425.6</v>
      </c>
      <c r="L13" s="10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24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27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5.25" customHeight="1">
      <c r="A16" s="5"/>
      <c r="B16" s="29" t="s">
        <v>17</v>
      </c>
      <c r="C16" s="30" t="s">
        <v>18</v>
      </c>
      <c r="D16" s="31" t="s">
        <v>19</v>
      </c>
      <c r="E16" s="26"/>
      <c r="F16" s="31" t="s">
        <v>20</v>
      </c>
      <c r="G16" s="26"/>
      <c r="H16" s="31" t="s">
        <v>21</v>
      </c>
      <c r="I16" s="26"/>
      <c r="J16" s="31" t="s">
        <v>22</v>
      </c>
      <c r="K16" s="26"/>
      <c r="L16" s="104"/>
      <c r="M16" s="10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32"/>
      <c r="C17" s="32"/>
      <c r="D17" s="33" t="s">
        <v>24</v>
      </c>
      <c r="E17" s="33" t="s">
        <v>25</v>
      </c>
      <c r="F17" s="33" t="s">
        <v>26</v>
      </c>
      <c r="G17" s="33" t="s">
        <v>27</v>
      </c>
      <c r="H17" s="33" t="s">
        <v>26</v>
      </c>
      <c r="I17" s="33" t="s">
        <v>27</v>
      </c>
      <c r="J17" s="33" t="s">
        <v>28</v>
      </c>
      <c r="K17" s="33" t="s">
        <v>29</v>
      </c>
      <c r="L17" s="105" t="s">
        <v>24</v>
      </c>
      <c r="M17" s="33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5"/>
      <c r="B18" s="102">
        <v>45383.0</v>
      </c>
      <c r="C18" s="35" t="s">
        <v>52</v>
      </c>
      <c r="D18" s="36">
        <v>1.0</v>
      </c>
      <c r="E18" s="47"/>
      <c r="F18" s="3" t="s">
        <v>31</v>
      </c>
      <c r="G18" s="44">
        <v>2791.0</v>
      </c>
      <c r="H18" s="39" t="s">
        <v>32</v>
      </c>
      <c r="I18" s="40">
        <v>2750.0</v>
      </c>
      <c r="J18" s="41">
        <v>39.0</v>
      </c>
      <c r="K18" s="42">
        <v>39.0</v>
      </c>
      <c r="L18" s="106">
        <f t="shared" ref="L18:L26" si="1">SUM(J18:K18)</f>
        <v>78</v>
      </c>
      <c r="M18" s="4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5"/>
      <c r="B19" s="102">
        <v>45386.0</v>
      </c>
      <c r="C19" s="35" t="s">
        <v>52</v>
      </c>
      <c r="D19" s="36">
        <v>1.0</v>
      </c>
      <c r="E19" s="47"/>
      <c r="F19" s="3" t="s">
        <v>31</v>
      </c>
      <c r="G19" s="44">
        <v>2791.0</v>
      </c>
      <c r="H19" s="39" t="s">
        <v>32</v>
      </c>
      <c r="I19" s="40">
        <v>2750.0</v>
      </c>
      <c r="J19" s="41">
        <v>39.0</v>
      </c>
      <c r="K19" s="42">
        <v>39.0</v>
      </c>
      <c r="L19" s="106">
        <f t="shared" si="1"/>
        <v>78</v>
      </c>
      <c r="M19" s="4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102">
        <v>45389.0</v>
      </c>
      <c r="C20" s="35" t="s">
        <v>52</v>
      </c>
      <c r="D20" s="36">
        <v>1.0</v>
      </c>
      <c r="E20" s="47"/>
      <c r="F20" s="3" t="s">
        <v>31</v>
      </c>
      <c r="G20" s="44">
        <v>2791.0</v>
      </c>
      <c r="H20" s="39" t="s">
        <v>32</v>
      </c>
      <c r="I20" s="40">
        <v>2750.0</v>
      </c>
      <c r="J20" s="41">
        <v>39.0</v>
      </c>
      <c r="K20" s="42">
        <v>39.0</v>
      </c>
      <c r="L20" s="106">
        <f t="shared" si="1"/>
        <v>78</v>
      </c>
      <c r="M20" s="4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102">
        <v>45392.0</v>
      </c>
      <c r="C21" s="35" t="s">
        <v>52</v>
      </c>
      <c r="D21" s="36">
        <v>1.0</v>
      </c>
      <c r="E21" s="47"/>
      <c r="F21" s="3" t="s">
        <v>31</v>
      </c>
      <c r="G21" s="44">
        <v>2791.0</v>
      </c>
      <c r="H21" s="39" t="s">
        <v>32</v>
      </c>
      <c r="I21" s="40">
        <v>2750.0</v>
      </c>
      <c r="J21" s="41">
        <v>39.0</v>
      </c>
      <c r="K21" s="42">
        <v>39.0</v>
      </c>
      <c r="L21" s="106">
        <f t="shared" si="1"/>
        <v>78</v>
      </c>
      <c r="M21" s="4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102">
        <v>45394.0</v>
      </c>
      <c r="C22" s="93" t="s">
        <v>72</v>
      </c>
      <c r="D22" s="94">
        <v>1.0</v>
      </c>
      <c r="E22" s="47"/>
      <c r="F22" s="1" t="s">
        <v>31</v>
      </c>
      <c r="G22" s="44">
        <v>2791.0</v>
      </c>
      <c r="H22" s="95" t="s">
        <v>73</v>
      </c>
      <c r="I22" s="40">
        <v>2791.0</v>
      </c>
      <c r="J22" s="96">
        <v>8.0</v>
      </c>
      <c r="K22" s="97">
        <v>8.0</v>
      </c>
      <c r="L22" s="106">
        <f t="shared" si="1"/>
        <v>16</v>
      </c>
      <c r="M22" s="4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102">
        <v>45395.0</v>
      </c>
      <c r="C23" s="35" t="s">
        <v>52</v>
      </c>
      <c r="D23" s="36">
        <v>1.0</v>
      </c>
      <c r="E23" s="47"/>
      <c r="F23" s="3" t="s">
        <v>31</v>
      </c>
      <c r="G23" s="44">
        <v>2791.0</v>
      </c>
      <c r="H23" s="39" t="s">
        <v>32</v>
      </c>
      <c r="I23" s="40">
        <v>2750.0</v>
      </c>
      <c r="J23" s="41">
        <v>39.0</v>
      </c>
      <c r="K23" s="42">
        <v>39.0</v>
      </c>
      <c r="L23" s="106">
        <f t="shared" si="1"/>
        <v>78</v>
      </c>
      <c r="M23" s="4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102">
        <v>45398.0</v>
      </c>
      <c r="C24" s="35" t="s">
        <v>52</v>
      </c>
      <c r="D24" s="36">
        <v>1.0</v>
      </c>
      <c r="E24" s="47"/>
      <c r="F24" s="3" t="s">
        <v>31</v>
      </c>
      <c r="G24" s="44">
        <v>2791.0</v>
      </c>
      <c r="H24" s="39" t="s">
        <v>32</v>
      </c>
      <c r="I24" s="40">
        <v>2750.0</v>
      </c>
      <c r="J24" s="41">
        <v>39.0</v>
      </c>
      <c r="K24" s="42">
        <v>39.0</v>
      </c>
      <c r="L24" s="106">
        <f t="shared" si="1"/>
        <v>78</v>
      </c>
      <c r="M24" s="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102">
        <v>45401.0</v>
      </c>
      <c r="C25" s="35" t="s">
        <v>52</v>
      </c>
      <c r="D25" s="36">
        <v>1.0</v>
      </c>
      <c r="E25" s="47"/>
      <c r="F25" s="3" t="s">
        <v>31</v>
      </c>
      <c r="G25" s="44">
        <v>2791.0</v>
      </c>
      <c r="H25" s="39" t="s">
        <v>32</v>
      </c>
      <c r="I25" s="40">
        <v>2750.0</v>
      </c>
      <c r="J25" s="41">
        <v>39.0</v>
      </c>
      <c r="K25" s="42">
        <v>39.0</v>
      </c>
      <c r="L25" s="106">
        <f t="shared" si="1"/>
        <v>78</v>
      </c>
      <c r="M25" s="4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102">
        <v>45404.0</v>
      </c>
      <c r="C26" s="35" t="s">
        <v>52</v>
      </c>
      <c r="D26" s="36">
        <v>1.0</v>
      </c>
      <c r="E26" s="47"/>
      <c r="F26" s="3" t="s">
        <v>31</v>
      </c>
      <c r="G26" s="44">
        <v>2791.0</v>
      </c>
      <c r="H26" s="39" t="s">
        <v>32</v>
      </c>
      <c r="I26" s="40">
        <v>2750.0</v>
      </c>
      <c r="J26" s="41">
        <v>39.0</v>
      </c>
      <c r="K26" s="42">
        <v>39.0</v>
      </c>
      <c r="L26" s="106">
        <f t="shared" si="1"/>
        <v>78</v>
      </c>
      <c r="M26" s="4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34"/>
      <c r="C28" s="35"/>
      <c r="D28" s="36"/>
      <c r="E28" s="47"/>
      <c r="G28" s="44"/>
      <c r="H28" s="39"/>
      <c r="I28" s="44"/>
      <c r="J28" s="41"/>
      <c r="K28" s="42"/>
      <c r="L28" s="106"/>
      <c r="M28" s="4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34"/>
      <c r="C29" s="35"/>
      <c r="D29" s="47"/>
      <c r="E29" s="47"/>
      <c r="F29" s="39"/>
      <c r="G29" s="44"/>
      <c r="H29" s="47"/>
      <c r="I29" s="44"/>
      <c r="J29" s="43"/>
      <c r="K29" s="43"/>
      <c r="L29" s="43"/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34"/>
      <c r="C30" s="35"/>
      <c r="D30" s="47"/>
      <c r="E30" s="47"/>
      <c r="F30" s="39"/>
      <c r="G30" s="44"/>
      <c r="H30" s="47"/>
      <c r="I30" s="44"/>
      <c r="J30" s="43"/>
      <c r="K30" s="43"/>
      <c r="L30" s="43"/>
      <c r="M30" s="4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34"/>
      <c r="C31" s="35"/>
      <c r="D31" s="47"/>
      <c r="E31" s="47"/>
      <c r="F31" s="39"/>
      <c r="G31" s="44"/>
      <c r="H31" s="47"/>
      <c r="I31" s="44"/>
      <c r="J31" s="43"/>
      <c r="K31" s="43"/>
      <c r="L31" s="43"/>
      <c r="M31" s="4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34"/>
      <c r="C32" s="35"/>
      <c r="D32" s="47"/>
      <c r="E32" s="47"/>
      <c r="F32" s="39"/>
      <c r="G32" s="44"/>
      <c r="H32" s="47"/>
      <c r="I32" s="44"/>
      <c r="J32" s="43"/>
      <c r="K32" s="43"/>
      <c r="L32" s="43"/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34"/>
      <c r="C33" s="35"/>
      <c r="D33" s="47"/>
      <c r="E33" s="47"/>
      <c r="F33" s="39"/>
      <c r="G33" s="44"/>
      <c r="H33" s="47"/>
      <c r="I33" s="44"/>
      <c r="J33" s="43"/>
      <c r="K33" s="43"/>
      <c r="L33" s="43"/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34"/>
      <c r="C34" s="35"/>
      <c r="D34" s="47"/>
      <c r="E34" s="47"/>
      <c r="F34" s="39"/>
      <c r="G34" s="44"/>
      <c r="H34" s="47"/>
      <c r="I34" s="44"/>
      <c r="J34" s="43"/>
      <c r="K34" s="43"/>
      <c r="L34" s="43"/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34"/>
      <c r="C35" s="35"/>
      <c r="D35" s="47"/>
      <c r="E35" s="47"/>
      <c r="F35" s="39"/>
      <c r="G35" s="44"/>
      <c r="H35" s="47"/>
      <c r="I35" s="44"/>
      <c r="J35" s="43"/>
      <c r="K35" s="43"/>
      <c r="L35" s="43"/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34"/>
      <c r="C36" s="35"/>
      <c r="D36" s="47"/>
      <c r="E36" s="47"/>
      <c r="F36" s="39"/>
      <c r="G36" s="44"/>
      <c r="H36" s="47"/>
      <c r="I36" s="44"/>
      <c r="J36" s="43"/>
      <c r="K36" s="43"/>
      <c r="L36" s="43"/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34"/>
      <c r="C37" s="35"/>
      <c r="D37" s="47"/>
      <c r="E37" s="47"/>
      <c r="F37" s="39"/>
      <c r="G37" s="44"/>
      <c r="H37" s="47"/>
      <c r="I37" s="44"/>
      <c r="J37" s="43"/>
      <c r="K37" s="43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34"/>
      <c r="C38" s="35"/>
      <c r="D38" s="47"/>
      <c r="E38" s="47"/>
      <c r="F38" s="39"/>
      <c r="G38" s="44"/>
      <c r="H38" s="47"/>
      <c r="I38" s="44"/>
      <c r="J38" s="43"/>
      <c r="K38" s="43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34"/>
      <c r="C39" s="35"/>
      <c r="D39" s="47"/>
      <c r="E39" s="47"/>
      <c r="F39" s="39"/>
      <c r="G39" s="44"/>
      <c r="H39" s="47"/>
      <c r="I39" s="44"/>
      <c r="J39" s="43"/>
      <c r="K39" s="43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34"/>
      <c r="C40" s="35"/>
      <c r="D40" s="47"/>
      <c r="E40" s="47"/>
      <c r="F40" s="39"/>
      <c r="G40" s="44"/>
      <c r="H40" s="47"/>
      <c r="I40" s="44"/>
      <c r="J40" s="43"/>
      <c r="K40" s="43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34"/>
      <c r="C41" s="35"/>
      <c r="D41" s="47"/>
      <c r="E41" s="47"/>
      <c r="F41" s="39"/>
      <c r="G41" s="44"/>
      <c r="H41" s="47"/>
      <c r="I41" s="44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34"/>
      <c r="C42" s="35"/>
      <c r="D42" s="47"/>
      <c r="E42" s="47"/>
      <c r="F42" s="39"/>
      <c r="G42" s="44"/>
      <c r="H42" s="47"/>
      <c r="I42" s="44"/>
      <c r="J42" s="43"/>
      <c r="K42" s="43"/>
      <c r="L42" s="43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34"/>
      <c r="C43" s="35"/>
      <c r="D43" s="47"/>
      <c r="E43" s="47"/>
      <c r="F43" s="39"/>
      <c r="G43" s="44"/>
      <c r="H43" s="47"/>
      <c r="I43" s="44"/>
      <c r="J43" s="43"/>
      <c r="K43" s="43"/>
      <c r="L43" s="43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34"/>
      <c r="C44" s="35"/>
      <c r="D44" s="47"/>
      <c r="E44" s="47"/>
      <c r="F44" s="39"/>
      <c r="G44" s="44"/>
      <c r="H44" s="47"/>
      <c r="I44" s="44"/>
      <c r="J44" s="43"/>
      <c r="K44" s="43"/>
      <c r="L44" s="43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34"/>
      <c r="C45" s="53"/>
      <c r="D45" s="54"/>
      <c r="E45" s="54"/>
      <c r="F45" s="39"/>
      <c r="G45" s="44"/>
      <c r="H45" s="54"/>
      <c r="I45" s="44"/>
      <c r="J45" s="55"/>
      <c r="K45" s="55"/>
      <c r="L45" s="107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34"/>
      <c r="C46" s="35"/>
      <c r="D46" s="47"/>
      <c r="E46" s="47"/>
      <c r="F46" s="39"/>
      <c r="G46" s="44"/>
      <c r="H46" s="47"/>
      <c r="I46" s="44"/>
      <c r="J46" s="43"/>
      <c r="K46" s="43"/>
      <c r="L46" s="43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34"/>
      <c r="C47" s="35"/>
      <c r="D47" s="47"/>
      <c r="E47" s="47"/>
      <c r="F47" s="39"/>
      <c r="G47" s="44"/>
      <c r="H47" s="47"/>
      <c r="I47" s="44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34"/>
      <c r="C48" s="35"/>
      <c r="D48" s="47"/>
      <c r="E48" s="47"/>
      <c r="F48" s="39"/>
      <c r="G48" s="44"/>
      <c r="H48" s="47"/>
      <c r="I48" s="44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34"/>
      <c r="C49" s="35"/>
      <c r="D49" s="47"/>
      <c r="E49" s="47"/>
      <c r="F49" s="39"/>
      <c r="G49" s="44"/>
      <c r="H49" s="47"/>
      <c r="I49" s="44"/>
      <c r="J49" s="43"/>
      <c r="K49" s="43"/>
      <c r="L49" s="43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34"/>
      <c r="C50" s="35"/>
      <c r="D50" s="47"/>
      <c r="E50" s="47"/>
      <c r="F50" s="39"/>
      <c r="G50" s="44"/>
      <c r="H50" s="47"/>
      <c r="I50" s="44"/>
      <c r="J50" s="43"/>
      <c r="K50" s="43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34"/>
      <c r="C51" s="35"/>
      <c r="D51" s="47"/>
      <c r="E51" s="47"/>
      <c r="F51" s="39"/>
      <c r="G51" s="44"/>
      <c r="H51" s="47"/>
      <c r="I51" s="44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34"/>
      <c r="C52" s="35"/>
      <c r="D52" s="47"/>
      <c r="E52" s="47"/>
      <c r="F52" s="39"/>
      <c r="G52" s="44"/>
      <c r="H52" s="47"/>
      <c r="I52" s="44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34"/>
      <c r="C53" s="35"/>
      <c r="D53" s="47"/>
      <c r="E53" s="47"/>
      <c r="F53" s="39"/>
      <c r="G53" s="44"/>
      <c r="H53" s="47"/>
      <c r="I53" s="44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34"/>
      <c r="C54" s="35"/>
      <c r="D54" s="47"/>
      <c r="E54" s="47"/>
      <c r="F54" s="39"/>
      <c r="G54" s="44"/>
      <c r="H54" s="47"/>
      <c r="I54" s="44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34"/>
      <c r="C55" s="35"/>
      <c r="D55" s="47"/>
      <c r="E55" s="47"/>
      <c r="F55" s="39"/>
      <c r="G55" s="44"/>
      <c r="H55" s="47"/>
      <c r="I55" s="44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34"/>
      <c r="C56" s="35"/>
      <c r="D56" s="47"/>
      <c r="E56" s="47"/>
      <c r="F56" s="39"/>
      <c r="G56" s="44"/>
      <c r="H56" s="47"/>
      <c r="I56" s="44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34"/>
      <c r="C57" s="35"/>
      <c r="D57" s="47"/>
      <c r="E57" s="47"/>
      <c r="F57" s="39"/>
      <c r="G57" s="44"/>
      <c r="H57" s="47"/>
      <c r="I57" s="44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34"/>
      <c r="C58" s="35"/>
      <c r="D58" s="47"/>
      <c r="E58" s="47"/>
      <c r="F58" s="39"/>
      <c r="G58" s="44"/>
      <c r="H58" s="47"/>
      <c r="I58" s="44"/>
      <c r="J58" s="43"/>
      <c r="K58" s="43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34"/>
      <c r="C59" s="35"/>
      <c r="D59" s="47"/>
      <c r="E59" s="47"/>
      <c r="F59" s="39"/>
      <c r="G59" s="44"/>
      <c r="H59" s="47"/>
      <c r="I59" s="44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34"/>
      <c r="C60" s="35"/>
      <c r="D60" s="47"/>
      <c r="E60" s="47"/>
      <c r="F60" s="39"/>
      <c r="G60" s="44"/>
      <c r="H60" s="47"/>
      <c r="I60" s="44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34"/>
      <c r="C61" s="35"/>
      <c r="D61" s="47"/>
      <c r="E61" s="47"/>
      <c r="F61" s="39"/>
      <c r="G61" s="44"/>
      <c r="H61" s="47"/>
      <c r="I61" s="44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34"/>
      <c r="C62" s="35"/>
      <c r="D62" s="47"/>
      <c r="E62" s="47"/>
      <c r="F62" s="39"/>
      <c r="G62" s="44"/>
      <c r="H62" s="47"/>
      <c r="I62" s="44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34"/>
      <c r="C63" s="35"/>
      <c r="D63" s="47"/>
      <c r="E63" s="47"/>
      <c r="F63" s="39"/>
      <c r="G63" s="44"/>
      <c r="H63" s="47"/>
      <c r="I63" s="44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34"/>
      <c r="C64" s="35"/>
      <c r="D64" s="47"/>
      <c r="E64" s="47"/>
      <c r="F64" s="39"/>
      <c r="G64" s="44"/>
      <c r="H64" s="47"/>
      <c r="I64" s="44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34"/>
      <c r="C65" s="35"/>
      <c r="D65" s="47"/>
      <c r="E65" s="47"/>
      <c r="F65" s="39"/>
      <c r="G65" s="44"/>
      <c r="H65" s="47"/>
      <c r="I65" s="44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34"/>
      <c r="C66" s="35"/>
      <c r="D66" s="47"/>
      <c r="E66" s="47"/>
      <c r="F66" s="39"/>
      <c r="G66" s="44"/>
      <c r="H66" s="47"/>
      <c r="I66" s="44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34"/>
      <c r="C67" s="35"/>
      <c r="D67" s="47"/>
      <c r="E67" s="47"/>
      <c r="F67" s="39"/>
      <c r="G67" s="44"/>
      <c r="H67" s="47"/>
      <c r="I67" s="44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34"/>
      <c r="C68" s="35"/>
      <c r="D68" s="47"/>
      <c r="E68" s="47"/>
      <c r="F68" s="39"/>
      <c r="G68" s="44"/>
      <c r="H68" s="47"/>
      <c r="I68" s="44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34"/>
      <c r="C69" s="35"/>
      <c r="D69" s="47"/>
      <c r="E69" s="47"/>
      <c r="F69" s="39"/>
      <c r="G69" s="44"/>
      <c r="H69" s="47"/>
      <c r="I69" s="44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34"/>
      <c r="C70" s="35"/>
      <c r="D70" s="47"/>
      <c r="E70" s="47"/>
      <c r="F70" s="39"/>
      <c r="G70" s="44"/>
      <c r="H70" s="47"/>
      <c r="I70" s="44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34"/>
      <c r="C71" s="35"/>
      <c r="D71" s="47"/>
      <c r="E71" s="47"/>
      <c r="F71" s="39"/>
      <c r="G71" s="44"/>
      <c r="H71" s="47"/>
      <c r="I71" s="44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34"/>
      <c r="C72" s="35"/>
      <c r="D72" s="47"/>
      <c r="E72" s="47"/>
      <c r="F72" s="39"/>
      <c r="G72" s="44"/>
      <c r="H72" s="47"/>
      <c r="I72" s="44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34"/>
      <c r="C73" s="35"/>
      <c r="D73" s="47"/>
      <c r="E73" s="47"/>
      <c r="F73" s="39"/>
      <c r="G73" s="44"/>
      <c r="H73" s="47"/>
      <c r="I73" s="44"/>
      <c r="J73" s="43"/>
      <c r="K73" s="43"/>
      <c r="L73" s="43"/>
      <c r="M73" s="4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34"/>
      <c r="C74" s="35"/>
      <c r="D74" s="47"/>
      <c r="E74" s="47"/>
      <c r="F74" s="39"/>
      <c r="G74" s="44"/>
      <c r="H74" s="47"/>
      <c r="I74" s="44"/>
      <c r="J74" s="43"/>
      <c r="K74" s="43"/>
      <c r="L74" s="43"/>
      <c r="M74" s="4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34"/>
      <c r="C75" s="35"/>
      <c r="D75" s="47"/>
      <c r="E75" s="47"/>
      <c r="F75" s="39"/>
      <c r="G75" s="44"/>
      <c r="H75" s="47"/>
      <c r="I75" s="44"/>
      <c r="J75" s="43"/>
      <c r="K75" s="43"/>
      <c r="L75" s="43"/>
      <c r="M75" s="43">
        <f t="shared" ref="M75:M76" si="2">(K75-J75)*E75</f>
        <v>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34"/>
      <c r="C76" s="35"/>
      <c r="D76" s="47"/>
      <c r="E76" s="47"/>
      <c r="F76" s="39"/>
      <c r="G76" s="44"/>
      <c r="H76" s="47"/>
      <c r="I76" s="44"/>
      <c r="J76" s="43"/>
      <c r="K76" s="43"/>
      <c r="L76" s="43"/>
      <c r="M76" s="43">
        <f t="shared" si="2"/>
        <v>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6" t="s">
        <v>38</v>
      </c>
      <c r="D78" s="57"/>
      <c r="E78" s="57"/>
      <c r="F78" s="57"/>
      <c r="G78" s="5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9"/>
      <c r="G79" s="60"/>
      <c r="H79" s="43">
        <v>0.0</v>
      </c>
      <c r="I79" s="61" t="s">
        <v>39</v>
      </c>
      <c r="J79" s="62"/>
      <c r="K79" s="62"/>
      <c r="L79" s="62"/>
      <c r="M79" s="6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64"/>
      <c r="D80" s="65"/>
      <c r="E80" s="65"/>
      <c r="F80" s="65"/>
      <c r="G80" s="6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5"/>
      <c r="C81" s="67" t="s">
        <v>40</v>
      </c>
      <c r="D81" s="62"/>
      <c r="E81" s="62"/>
      <c r="F81" s="62"/>
      <c r="G81" s="14"/>
      <c r="H81" s="68" t="str">
        <f>SUM(#REF!)</f>
        <v>#REF!</v>
      </c>
      <c r="I81" s="69" t="s">
        <v>41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5"/>
      <c r="B83" s="5"/>
      <c r="C83" s="67" t="s">
        <v>42</v>
      </c>
      <c r="D83" s="62"/>
      <c r="E83" s="62"/>
      <c r="F83" s="62"/>
      <c r="G83" s="63"/>
      <c r="H83" s="68" t="str">
        <f>H79+H81</f>
        <v>#REF!</v>
      </c>
      <c r="I83" s="69" t="s">
        <v>41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75" customHeight="1">
      <c r="A85" s="5"/>
      <c r="B85" s="5"/>
      <c r="C85" s="67" t="s">
        <v>43</v>
      </c>
      <c r="D85" s="62"/>
      <c r="E85" s="62"/>
      <c r="F85" s="62"/>
      <c r="G85" s="63"/>
      <c r="H85" s="68" t="str">
        <f>IF(H83&lt;=20000,H81,IF(H79&gt;20000,0,20000-H79))</f>
        <v>#REF!</v>
      </c>
      <c r="I85" s="69" t="s">
        <v>41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5"/>
      <c r="C87" s="67" t="s">
        <v>44</v>
      </c>
      <c r="D87" s="62"/>
      <c r="E87" s="62"/>
      <c r="F87" s="62"/>
      <c r="G87" s="14"/>
      <c r="H87" s="68" t="str">
        <f>IF(H83&gt;20000,H83-H79-H85,0)</f>
        <v>#REF!</v>
      </c>
      <c r="I87" s="69" t="s">
        <v>41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7.25" customHeight="1">
      <c r="A89" s="5"/>
      <c r="B89" s="5"/>
      <c r="C89" s="70" t="s">
        <v>45</v>
      </c>
      <c r="D89" s="71">
        <v>3.79</v>
      </c>
      <c r="E89" s="72" t="s">
        <v>46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32"/>
      <c r="D90" s="71">
        <v>2.23</v>
      </c>
      <c r="E90" s="72" t="s">
        <v>47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30.0" customHeight="1">
      <c r="A92" s="5"/>
      <c r="B92" s="5"/>
      <c r="C92" s="73" t="s">
        <v>48</v>
      </c>
      <c r="D92" s="62"/>
      <c r="E92" s="62"/>
      <c r="F92" s="14"/>
      <c r="G92" s="74" t="str">
        <f>(H85*D89)+(H87*D90)</f>
        <v>#REF!</v>
      </c>
      <c r="H92" s="12"/>
      <c r="I92" s="69" t="s">
        <v>41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75" t="s">
        <v>49</v>
      </c>
      <c r="D94" s="76"/>
      <c r="E94" s="77"/>
      <c r="F94" s="78"/>
      <c r="G94" s="76"/>
      <c r="H94" s="76"/>
      <c r="I94" s="7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79"/>
      <c r="D95" s="65"/>
      <c r="E95" s="80"/>
      <c r="F95" s="79"/>
      <c r="G95" s="65"/>
      <c r="H95" s="65"/>
      <c r="I95" s="80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3.25" customHeight="1">
      <c r="A96" s="5"/>
      <c r="B96" s="5"/>
      <c r="C96" s="81" t="s">
        <v>50</v>
      </c>
      <c r="D96" s="15"/>
      <c r="E96" s="12"/>
      <c r="F96" s="82"/>
      <c r="G96" s="15"/>
      <c r="H96" s="15"/>
      <c r="I96" s="12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0">
    <mergeCell ref="A5:D5"/>
    <mergeCell ref="B7:M7"/>
    <mergeCell ref="C9:D9"/>
    <mergeCell ref="H9:I9"/>
    <mergeCell ref="J9:M9"/>
    <mergeCell ref="C10:D10"/>
    <mergeCell ref="H10:I10"/>
    <mergeCell ref="J10:M10"/>
    <mergeCell ref="B14:M14"/>
    <mergeCell ref="B16:B17"/>
    <mergeCell ref="C16:C17"/>
    <mergeCell ref="D16:E16"/>
    <mergeCell ref="H16:I16"/>
    <mergeCell ref="J16:K16"/>
    <mergeCell ref="F16:G16"/>
    <mergeCell ref="C78:G80"/>
    <mergeCell ref="I79:M79"/>
    <mergeCell ref="C81:G81"/>
    <mergeCell ref="C83:G83"/>
    <mergeCell ref="C85:G85"/>
    <mergeCell ref="C87:G87"/>
    <mergeCell ref="C96:E96"/>
    <mergeCell ref="F96:I96"/>
    <mergeCell ref="C89:C90"/>
    <mergeCell ref="E89:I89"/>
    <mergeCell ref="E90:I90"/>
    <mergeCell ref="C92:F92"/>
    <mergeCell ref="G92:H92"/>
    <mergeCell ref="C94:E95"/>
    <mergeCell ref="F94:I95"/>
  </mergeCells>
  <dataValidations>
    <dataValidation type="decimal" allowBlank="1" showInputMessage="1" showErrorMessage="1" prompt="Ugyldigt tal - Tallet på kilometertælleren skal være mellem 0 and 999.999,9" sqref="J18:K26 J28:K28">
      <formula1>0.0</formula1>
      <formula2>999999.9</formula2>
    </dataValidation>
  </dataValidations>
  <hyperlinks>
    <hyperlink r:id="rId1" ref="A13"/>
  </hyperlinks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0.13"/>
    <col customWidth="1" min="3" max="3" width="62.25"/>
    <col customWidth="1" min="4" max="4" width="12.25"/>
    <col customWidth="1" min="5" max="5" width="12.38"/>
    <col customWidth="1" min="6" max="6" width="20.88"/>
    <col customWidth="1" min="7" max="7" width="11.25"/>
    <col customWidth="1" min="8" max="8" width="19.38"/>
    <col customWidth="1" min="9" max="9" width="11.63"/>
    <col customWidth="1" min="10" max="10" width="13.38"/>
    <col customWidth="1" min="11" max="11" width="14.13"/>
    <col customWidth="1" min="12" max="13" width="14.5"/>
    <col customWidth="1" min="14" max="14" width="19.5"/>
    <col customWidth="1" min="15" max="26" width="8.75"/>
  </cols>
  <sheetData>
    <row r="1" ht="12.75" customHeight="1">
      <c r="A1" s="5"/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9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8"/>
      <c r="B9" s="10" t="s">
        <v>4</v>
      </c>
      <c r="C9" s="88">
        <v>45413.0</v>
      </c>
      <c r="D9" s="12"/>
      <c r="E9" s="9"/>
      <c r="F9" s="9"/>
      <c r="G9" s="9"/>
      <c r="H9" s="13" t="s">
        <v>6</v>
      </c>
      <c r="I9" s="14"/>
      <c r="J9" s="11" t="s">
        <v>7</v>
      </c>
      <c r="K9" s="15"/>
      <c r="L9" s="15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8"/>
      <c r="B10" s="16" t="s">
        <v>8</v>
      </c>
      <c r="C10" s="101" t="s">
        <v>63</v>
      </c>
      <c r="D10" s="12"/>
      <c r="E10" s="9"/>
      <c r="F10" s="9"/>
      <c r="G10" s="9"/>
      <c r="H10" s="13" t="s">
        <v>10</v>
      </c>
      <c r="I10" s="14"/>
      <c r="J10" s="17" t="s">
        <v>11</v>
      </c>
      <c r="K10" s="18"/>
      <c r="L10" s="18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20" t="s">
        <v>12</v>
      </c>
      <c r="K11" s="21">
        <f>SUM(L18:L35)</f>
        <v>336</v>
      </c>
      <c r="L11" s="9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8"/>
      <c r="B12" s="9"/>
      <c r="C12" s="9"/>
      <c r="D12" s="9"/>
      <c r="E12" s="9"/>
      <c r="F12" s="9"/>
      <c r="G12" s="9"/>
      <c r="H12" s="9"/>
      <c r="I12" s="9"/>
      <c r="J12" s="20" t="s">
        <v>13</v>
      </c>
      <c r="K12" s="89">
        <v>3.79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90" t="s">
        <v>53</v>
      </c>
      <c r="B13" s="8"/>
      <c r="C13" s="8"/>
      <c r="D13" s="8"/>
      <c r="E13" s="5"/>
      <c r="F13" s="5"/>
      <c r="G13" s="5"/>
      <c r="H13" s="5"/>
      <c r="I13" s="5"/>
      <c r="J13" s="20" t="s">
        <v>15</v>
      </c>
      <c r="K13" s="22">
        <f>SUM(K11*K12)</f>
        <v>1273.44</v>
      </c>
      <c r="L13" s="10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24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27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5.25" customHeight="1">
      <c r="A16" s="5"/>
      <c r="B16" s="29" t="s">
        <v>17</v>
      </c>
      <c r="C16" s="30" t="s">
        <v>18</v>
      </c>
      <c r="D16" s="31" t="s">
        <v>19</v>
      </c>
      <c r="E16" s="26"/>
      <c r="F16" s="31" t="s">
        <v>20</v>
      </c>
      <c r="G16" s="26"/>
      <c r="H16" s="31" t="s">
        <v>21</v>
      </c>
      <c r="I16" s="26"/>
      <c r="J16" s="31" t="s">
        <v>22</v>
      </c>
      <c r="K16" s="26"/>
      <c r="L16" s="104"/>
      <c r="M16" s="10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32"/>
      <c r="C17" s="32"/>
      <c r="D17" s="33" t="s">
        <v>24</v>
      </c>
      <c r="E17" s="33" t="s">
        <v>25</v>
      </c>
      <c r="F17" s="33" t="s">
        <v>26</v>
      </c>
      <c r="G17" s="33" t="s">
        <v>27</v>
      </c>
      <c r="H17" s="33" t="s">
        <v>26</v>
      </c>
      <c r="I17" s="33" t="s">
        <v>27</v>
      </c>
      <c r="J17" s="33" t="s">
        <v>28</v>
      </c>
      <c r="K17" s="33" t="s">
        <v>29</v>
      </c>
      <c r="L17" s="105" t="s">
        <v>24</v>
      </c>
      <c r="M17" s="33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5"/>
      <c r="B18" s="102">
        <v>45418.0</v>
      </c>
      <c r="C18" s="93" t="s">
        <v>74</v>
      </c>
      <c r="D18" s="36">
        <v>1.0</v>
      </c>
      <c r="E18" s="47"/>
      <c r="F18" s="3" t="s">
        <v>31</v>
      </c>
      <c r="G18" s="44">
        <v>2791.0</v>
      </c>
      <c r="H18" s="95" t="s">
        <v>75</v>
      </c>
      <c r="I18" s="108">
        <v>1801.0</v>
      </c>
      <c r="J18" s="96">
        <v>16.0</v>
      </c>
      <c r="K18" s="97">
        <v>16.0</v>
      </c>
      <c r="L18" s="106">
        <f t="shared" ref="L18:L27" si="1">SUM(J18:K18)</f>
        <v>32</v>
      </c>
      <c r="M18" s="4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5"/>
      <c r="B19" s="102">
        <v>45419.0</v>
      </c>
      <c r="C19" s="93" t="s">
        <v>76</v>
      </c>
      <c r="D19" s="94">
        <v>1.0</v>
      </c>
      <c r="E19" s="47"/>
      <c r="F19" s="3" t="s">
        <v>31</v>
      </c>
      <c r="G19" s="44">
        <v>2791.0</v>
      </c>
      <c r="H19" s="95" t="s">
        <v>77</v>
      </c>
      <c r="I19" s="108">
        <v>2650.0</v>
      </c>
      <c r="J19" s="96">
        <v>20.0</v>
      </c>
      <c r="K19" s="96">
        <v>20.0</v>
      </c>
      <c r="L19" s="106">
        <f t="shared" si="1"/>
        <v>40</v>
      </c>
      <c r="M19" s="4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102">
        <v>45420.0</v>
      </c>
      <c r="C20" s="93" t="s">
        <v>74</v>
      </c>
      <c r="D20" s="36">
        <v>1.0</v>
      </c>
      <c r="E20" s="47"/>
      <c r="F20" s="3" t="s">
        <v>31</v>
      </c>
      <c r="G20" s="44">
        <v>2791.0</v>
      </c>
      <c r="H20" s="95" t="s">
        <v>78</v>
      </c>
      <c r="I20" s="108">
        <v>1801.0</v>
      </c>
      <c r="J20" s="96">
        <v>16.0</v>
      </c>
      <c r="K20" s="97">
        <v>16.0</v>
      </c>
      <c r="L20" s="106">
        <f t="shared" si="1"/>
        <v>32</v>
      </c>
      <c r="M20" s="4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102">
        <v>45425.0</v>
      </c>
      <c r="C21" s="93" t="s">
        <v>74</v>
      </c>
      <c r="D21" s="36">
        <v>1.0</v>
      </c>
      <c r="E21" s="47"/>
      <c r="F21" s="3" t="s">
        <v>31</v>
      </c>
      <c r="G21" s="44">
        <v>2791.0</v>
      </c>
      <c r="H21" s="95" t="s">
        <v>79</v>
      </c>
      <c r="I21" s="108">
        <v>1801.0</v>
      </c>
      <c r="J21" s="96">
        <v>16.0</v>
      </c>
      <c r="K21" s="97">
        <v>16.0</v>
      </c>
      <c r="L21" s="106">
        <f t="shared" si="1"/>
        <v>32</v>
      </c>
      <c r="M21" s="4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102">
        <v>45427.0</v>
      </c>
      <c r="C22" s="93" t="s">
        <v>74</v>
      </c>
      <c r="D22" s="36">
        <v>1.0</v>
      </c>
      <c r="E22" s="47"/>
      <c r="F22" s="3" t="s">
        <v>31</v>
      </c>
      <c r="G22" s="44">
        <v>2791.0</v>
      </c>
      <c r="H22" s="95" t="s">
        <v>80</v>
      </c>
      <c r="I22" s="108">
        <v>1801.0</v>
      </c>
      <c r="J22" s="96">
        <v>16.0</v>
      </c>
      <c r="K22" s="97">
        <v>16.0</v>
      </c>
      <c r="L22" s="106">
        <f t="shared" si="1"/>
        <v>32</v>
      </c>
      <c r="M22" s="4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102">
        <v>45432.0</v>
      </c>
      <c r="C23" s="93" t="s">
        <v>74</v>
      </c>
      <c r="D23" s="36">
        <v>1.0</v>
      </c>
      <c r="E23" s="47"/>
      <c r="F23" s="3" t="s">
        <v>31</v>
      </c>
      <c r="G23" s="44">
        <v>2791.0</v>
      </c>
      <c r="H23" s="95" t="s">
        <v>81</v>
      </c>
      <c r="I23" s="108">
        <v>1801.0</v>
      </c>
      <c r="J23" s="96">
        <v>16.0</v>
      </c>
      <c r="K23" s="97">
        <v>16.0</v>
      </c>
      <c r="L23" s="106">
        <f t="shared" si="1"/>
        <v>32</v>
      </c>
      <c r="M23" s="4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102">
        <v>45434.0</v>
      </c>
      <c r="C24" s="93" t="s">
        <v>74</v>
      </c>
      <c r="D24" s="36">
        <v>1.0</v>
      </c>
      <c r="E24" s="47"/>
      <c r="F24" s="3" t="s">
        <v>31</v>
      </c>
      <c r="G24" s="44">
        <v>2791.0</v>
      </c>
      <c r="H24" s="95" t="s">
        <v>82</v>
      </c>
      <c r="I24" s="108">
        <v>1801.0</v>
      </c>
      <c r="J24" s="96">
        <v>16.0</v>
      </c>
      <c r="K24" s="97">
        <v>16.0</v>
      </c>
      <c r="L24" s="106">
        <f t="shared" si="1"/>
        <v>32</v>
      </c>
      <c r="M24" s="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102">
        <v>45435.0</v>
      </c>
      <c r="C25" s="93" t="s">
        <v>76</v>
      </c>
      <c r="D25" s="94">
        <v>1.0</v>
      </c>
      <c r="E25" s="47"/>
      <c r="F25" s="3" t="s">
        <v>31</v>
      </c>
      <c r="G25" s="44">
        <v>2791.0</v>
      </c>
      <c r="H25" s="95" t="s">
        <v>77</v>
      </c>
      <c r="I25" s="108">
        <v>2650.0</v>
      </c>
      <c r="J25" s="96">
        <v>20.0</v>
      </c>
      <c r="K25" s="96">
        <v>20.0</v>
      </c>
      <c r="L25" s="106">
        <f t="shared" si="1"/>
        <v>40</v>
      </c>
      <c r="M25" s="4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102">
        <v>45439.0</v>
      </c>
      <c r="C26" s="93" t="s">
        <v>74</v>
      </c>
      <c r="D26" s="36">
        <v>1.0</v>
      </c>
      <c r="E26" s="47"/>
      <c r="F26" s="3" t="s">
        <v>31</v>
      </c>
      <c r="G26" s="44">
        <v>2791.0</v>
      </c>
      <c r="H26" s="95" t="s">
        <v>83</v>
      </c>
      <c r="I26" s="108">
        <v>1801.0</v>
      </c>
      <c r="J26" s="96">
        <v>16.0</v>
      </c>
      <c r="K26" s="97">
        <v>16.0</v>
      </c>
      <c r="L26" s="106">
        <f t="shared" si="1"/>
        <v>32</v>
      </c>
      <c r="M26" s="4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102">
        <v>45441.0</v>
      </c>
      <c r="C27" s="93" t="s">
        <v>74</v>
      </c>
      <c r="D27" s="36">
        <v>1.0</v>
      </c>
      <c r="E27" s="47"/>
      <c r="F27" s="3" t="s">
        <v>31</v>
      </c>
      <c r="G27" s="44">
        <v>2791.0</v>
      </c>
      <c r="H27" s="95" t="s">
        <v>84</v>
      </c>
      <c r="I27" s="108">
        <v>1801.0</v>
      </c>
      <c r="J27" s="96">
        <v>16.0</v>
      </c>
      <c r="K27" s="97">
        <v>16.0</v>
      </c>
      <c r="L27" s="106">
        <f t="shared" si="1"/>
        <v>32</v>
      </c>
      <c r="M27" s="4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102"/>
      <c r="C28" s="35"/>
      <c r="D28" s="36"/>
      <c r="E28" s="47"/>
      <c r="G28" s="44"/>
      <c r="H28" s="39"/>
      <c r="I28" s="40"/>
      <c r="J28" s="41"/>
      <c r="K28" s="42"/>
      <c r="L28" s="106"/>
      <c r="M28" s="4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102"/>
      <c r="C29" s="35"/>
      <c r="D29" s="36"/>
      <c r="E29" s="47"/>
      <c r="G29" s="44"/>
      <c r="H29" s="39"/>
      <c r="I29" s="40"/>
      <c r="J29" s="41"/>
      <c r="K29" s="42"/>
      <c r="L29" s="106"/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102"/>
      <c r="C30" s="35"/>
      <c r="D30" s="36"/>
      <c r="E30" s="47"/>
      <c r="G30" s="44"/>
      <c r="H30" s="39"/>
      <c r="I30" s="40"/>
      <c r="J30" s="41"/>
      <c r="K30" s="42"/>
      <c r="L30" s="106"/>
      <c r="M30" s="4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34"/>
      <c r="C32" s="35"/>
      <c r="D32" s="36"/>
      <c r="E32" s="47"/>
      <c r="G32" s="44"/>
      <c r="H32" s="39"/>
      <c r="I32" s="44"/>
      <c r="J32" s="41"/>
      <c r="K32" s="42"/>
      <c r="L32" s="106"/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34"/>
      <c r="C33" s="35"/>
      <c r="D33" s="47"/>
      <c r="E33" s="47"/>
      <c r="F33" s="39"/>
      <c r="G33" s="44"/>
      <c r="H33" s="47"/>
      <c r="I33" s="44"/>
      <c r="J33" s="43"/>
      <c r="K33" s="43"/>
      <c r="L33" s="43"/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34"/>
      <c r="C34" s="35"/>
      <c r="D34" s="47"/>
      <c r="E34" s="47"/>
      <c r="F34" s="39"/>
      <c r="G34" s="44"/>
      <c r="H34" s="47"/>
      <c r="I34" s="44"/>
      <c r="J34" s="43"/>
      <c r="K34" s="43"/>
      <c r="L34" s="43"/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34"/>
      <c r="C35" s="35"/>
      <c r="D35" s="47"/>
      <c r="E35" s="47"/>
      <c r="F35" s="39"/>
      <c r="G35" s="44"/>
      <c r="H35" s="47"/>
      <c r="I35" s="44"/>
      <c r="J35" s="43"/>
      <c r="K35" s="43"/>
      <c r="L35" s="43"/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34"/>
      <c r="C36" s="35"/>
      <c r="D36" s="47"/>
      <c r="E36" s="47"/>
      <c r="F36" s="39"/>
      <c r="G36" s="44"/>
      <c r="H36" s="47"/>
      <c r="I36" s="44"/>
      <c r="J36" s="43"/>
      <c r="K36" s="43"/>
      <c r="L36" s="43"/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34"/>
      <c r="C37" s="35"/>
      <c r="D37" s="47"/>
      <c r="E37" s="47"/>
      <c r="F37" s="39"/>
      <c r="G37" s="44"/>
      <c r="H37" s="47"/>
      <c r="I37" s="44"/>
      <c r="J37" s="43"/>
      <c r="K37" s="43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34"/>
      <c r="C38" s="35"/>
      <c r="D38" s="47"/>
      <c r="E38" s="47"/>
      <c r="F38" s="39"/>
      <c r="G38" s="44"/>
      <c r="H38" s="47"/>
      <c r="I38" s="44"/>
      <c r="J38" s="43"/>
      <c r="K38" s="43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34"/>
      <c r="C39" s="35"/>
      <c r="D39" s="47"/>
      <c r="E39" s="47"/>
      <c r="F39" s="39"/>
      <c r="G39" s="44"/>
      <c r="H39" s="47"/>
      <c r="I39" s="44"/>
      <c r="J39" s="43"/>
      <c r="K39" s="43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34"/>
      <c r="C40" s="35"/>
      <c r="D40" s="47"/>
      <c r="E40" s="47"/>
      <c r="F40" s="39"/>
      <c r="G40" s="44"/>
      <c r="H40" s="47"/>
      <c r="I40" s="44"/>
      <c r="J40" s="43"/>
      <c r="K40" s="43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34"/>
      <c r="C41" s="35"/>
      <c r="D41" s="47"/>
      <c r="E41" s="47"/>
      <c r="F41" s="39"/>
      <c r="G41" s="44"/>
      <c r="H41" s="47"/>
      <c r="I41" s="44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34"/>
      <c r="C42" s="35"/>
      <c r="D42" s="47"/>
      <c r="E42" s="47"/>
      <c r="F42" s="39"/>
      <c r="G42" s="44"/>
      <c r="H42" s="47"/>
      <c r="I42" s="44"/>
      <c r="J42" s="43"/>
      <c r="K42" s="43"/>
      <c r="L42" s="43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34"/>
      <c r="C43" s="35"/>
      <c r="D43" s="47"/>
      <c r="E43" s="47"/>
      <c r="F43" s="39"/>
      <c r="G43" s="44"/>
      <c r="H43" s="47"/>
      <c r="I43" s="44"/>
      <c r="J43" s="43"/>
      <c r="K43" s="43"/>
      <c r="L43" s="43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34"/>
      <c r="C44" s="35"/>
      <c r="D44" s="47"/>
      <c r="E44" s="47"/>
      <c r="F44" s="39"/>
      <c r="G44" s="44"/>
      <c r="H44" s="47"/>
      <c r="I44" s="44"/>
      <c r="J44" s="43"/>
      <c r="K44" s="43"/>
      <c r="L44" s="43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34"/>
      <c r="C45" s="35"/>
      <c r="D45" s="47"/>
      <c r="E45" s="47"/>
      <c r="F45" s="39"/>
      <c r="G45" s="44"/>
      <c r="H45" s="47"/>
      <c r="I45" s="44"/>
      <c r="J45" s="43"/>
      <c r="K45" s="43"/>
      <c r="L45" s="43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34"/>
      <c r="C46" s="35"/>
      <c r="D46" s="47"/>
      <c r="E46" s="47"/>
      <c r="F46" s="39"/>
      <c r="G46" s="44"/>
      <c r="H46" s="47"/>
      <c r="I46" s="44"/>
      <c r="J46" s="43"/>
      <c r="K46" s="43"/>
      <c r="L46" s="43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34"/>
      <c r="C47" s="35"/>
      <c r="D47" s="47"/>
      <c r="E47" s="47"/>
      <c r="F47" s="39"/>
      <c r="G47" s="44"/>
      <c r="H47" s="47"/>
      <c r="I47" s="44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34"/>
      <c r="C48" s="35"/>
      <c r="D48" s="47"/>
      <c r="E48" s="47"/>
      <c r="F48" s="39"/>
      <c r="G48" s="44"/>
      <c r="H48" s="47"/>
      <c r="I48" s="44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34"/>
      <c r="C49" s="53"/>
      <c r="D49" s="54"/>
      <c r="E49" s="54"/>
      <c r="F49" s="39"/>
      <c r="G49" s="44"/>
      <c r="H49" s="54"/>
      <c r="I49" s="44"/>
      <c r="J49" s="55"/>
      <c r="K49" s="55"/>
      <c r="L49" s="107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34"/>
      <c r="C50" s="35"/>
      <c r="D50" s="47"/>
      <c r="E50" s="47"/>
      <c r="F50" s="39"/>
      <c r="G50" s="44"/>
      <c r="H50" s="47"/>
      <c r="I50" s="44"/>
      <c r="J50" s="43"/>
      <c r="K50" s="43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34"/>
      <c r="C51" s="35"/>
      <c r="D51" s="47"/>
      <c r="E51" s="47"/>
      <c r="F51" s="39"/>
      <c r="G51" s="44"/>
      <c r="H51" s="47"/>
      <c r="I51" s="44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34"/>
      <c r="C52" s="35"/>
      <c r="D52" s="47"/>
      <c r="E52" s="47"/>
      <c r="F52" s="39"/>
      <c r="G52" s="44"/>
      <c r="H52" s="47"/>
      <c r="I52" s="44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34"/>
      <c r="C53" s="35"/>
      <c r="D53" s="47"/>
      <c r="E53" s="47"/>
      <c r="F53" s="39"/>
      <c r="G53" s="44"/>
      <c r="H53" s="47"/>
      <c r="I53" s="44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34"/>
      <c r="C54" s="35"/>
      <c r="D54" s="47"/>
      <c r="E54" s="47"/>
      <c r="F54" s="39"/>
      <c r="G54" s="44"/>
      <c r="H54" s="47"/>
      <c r="I54" s="44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34"/>
      <c r="C55" s="35"/>
      <c r="D55" s="47"/>
      <c r="E55" s="47"/>
      <c r="F55" s="39"/>
      <c r="G55" s="44"/>
      <c r="H55" s="47"/>
      <c r="I55" s="44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34"/>
      <c r="C56" s="35"/>
      <c r="D56" s="47"/>
      <c r="E56" s="47"/>
      <c r="F56" s="39"/>
      <c r="G56" s="44"/>
      <c r="H56" s="47"/>
      <c r="I56" s="44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34"/>
      <c r="C57" s="35"/>
      <c r="D57" s="47"/>
      <c r="E57" s="47"/>
      <c r="F57" s="39"/>
      <c r="G57" s="44"/>
      <c r="H57" s="47"/>
      <c r="I57" s="44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34"/>
      <c r="C58" s="35"/>
      <c r="D58" s="47"/>
      <c r="E58" s="47"/>
      <c r="F58" s="39"/>
      <c r="G58" s="44"/>
      <c r="H58" s="47"/>
      <c r="I58" s="44"/>
      <c r="J58" s="43"/>
      <c r="K58" s="43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34"/>
      <c r="C59" s="35"/>
      <c r="D59" s="47"/>
      <c r="E59" s="47"/>
      <c r="F59" s="39"/>
      <c r="G59" s="44"/>
      <c r="H59" s="47"/>
      <c r="I59" s="44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34"/>
      <c r="C60" s="35"/>
      <c r="D60" s="47"/>
      <c r="E60" s="47"/>
      <c r="F60" s="39"/>
      <c r="G60" s="44"/>
      <c r="H60" s="47"/>
      <c r="I60" s="44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34"/>
      <c r="C61" s="35"/>
      <c r="D61" s="47"/>
      <c r="E61" s="47"/>
      <c r="F61" s="39"/>
      <c r="G61" s="44"/>
      <c r="H61" s="47"/>
      <c r="I61" s="44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34"/>
      <c r="C62" s="35"/>
      <c r="D62" s="47"/>
      <c r="E62" s="47"/>
      <c r="F62" s="39"/>
      <c r="G62" s="44"/>
      <c r="H62" s="47"/>
      <c r="I62" s="44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34"/>
      <c r="C63" s="35"/>
      <c r="D63" s="47"/>
      <c r="E63" s="47"/>
      <c r="F63" s="39"/>
      <c r="G63" s="44"/>
      <c r="H63" s="47"/>
      <c r="I63" s="44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34"/>
      <c r="C64" s="35"/>
      <c r="D64" s="47"/>
      <c r="E64" s="47"/>
      <c r="F64" s="39"/>
      <c r="G64" s="44"/>
      <c r="H64" s="47"/>
      <c r="I64" s="44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34"/>
      <c r="C65" s="35"/>
      <c r="D65" s="47"/>
      <c r="E65" s="47"/>
      <c r="F65" s="39"/>
      <c r="G65" s="44"/>
      <c r="H65" s="47"/>
      <c r="I65" s="44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34"/>
      <c r="C66" s="35"/>
      <c r="D66" s="47"/>
      <c r="E66" s="47"/>
      <c r="F66" s="39"/>
      <c r="G66" s="44"/>
      <c r="H66" s="47"/>
      <c r="I66" s="44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34"/>
      <c r="C67" s="35"/>
      <c r="D67" s="47"/>
      <c r="E67" s="47"/>
      <c r="F67" s="39"/>
      <c r="G67" s="44"/>
      <c r="H67" s="47"/>
      <c r="I67" s="44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34"/>
      <c r="C68" s="35"/>
      <c r="D68" s="47"/>
      <c r="E68" s="47"/>
      <c r="F68" s="39"/>
      <c r="G68" s="44"/>
      <c r="H68" s="47"/>
      <c r="I68" s="44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34"/>
      <c r="C69" s="35"/>
      <c r="D69" s="47"/>
      <c r="E69" s="47"/>
      <c r="F69" s="39"/>
      <c r="G69" s="44"/>
      <c r="H69" s="47"/>
      <c r="I69" s="44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34"/>
      <c r="C70" s="35"/>
      <c r="D70" s="47"/>
      <c r="E70" s="47"/>
      <c r="F70" s="39"/>
      <c r="G70" s="44"/>
      <c r="H70" s="47"/>
      <c r="I70" s="44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34"/>
      <c r="C71" s="35"/>
      <c r="D71" s="47"/>
      <c r="E71" s="47"/>
      <c r="F71" s="39"/>
      <c r="G71" s="44"/>
      <c r="H71" s="47"/>
      <c r="I71" s="44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34"/>
      <c r="C72" s="35"/>
      <c r="D72" s="47"/>
      <c r="E72" s="47"/>
      <c r="F72" s="39"/>
      <c r="G72" s="44"/>
      <c r="H72" s="47"/>
      <c r="I72" s="44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34"/>
      <c r="C73" s="35"/>
      <c r="D73" s="47"/>
      <c r="E73" s="47"/>
      <c r="F73" s="39"/>
      <c r="G73" s="44"/>
      <c r="H73" s="47"/>
      <c r="I73" s="44"/>
      <c r="J73" s="43"/>
      <c r="K73" s="43"/>
      <c r="L73" s="43"/>
      <c r="M73" s="4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34"/>
      <c r="C74" s="35"/>
      <c r="D74" s="47"/>
      <c r="E74" s="47"/>
      <c r="F74" s="39"/>
      <c r="G74" s="44"/>
      <c r="H74" s="47"/>
      <c r="I74" s="44"/>
      <c r="J74" s="43"/>
      <c r="K74" s="43"/>
      <c r="L74" s="43"/>
      <c r="M74" s="4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34"/>
      <c r="C75" s="35"/>
      <c r="D75" s="47"/>
      <c r="E75" s="47"/>
      <c r="F75" s="39"/>
      <c r="G75" s="44"/>
      <c r="H75" s="47"/>
      <c r="I75" s="44"/>
      <c r="J75" s="43"/>
      <c r="K75" s="43"/>
      <c r="L75" s="43"/>
      <c r="M75" s="43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34"/>
      <c r="C76" s="35"/>
      <c r="D76" s="47"/>
      <c r="E76" s="47"/>
      <c r="F76" s="39"/>
      <c r="G76" s="44"/>
      <c r="H76" s="47"/>
      <c r="I76" s="44"/>
      <c r="J76" s="43"/>
      <c r="K76" s="43"/>
      <c r="L76" s="43"/>
      <c r="M76" s="43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34"/>
      <c r="C77" s="35"/>
      <c r="D77" s="47"/>
      <c r="E77" s="47"/>
      <c r="F77" s="39"/>
      <c r="G77" s="44"/>
      <c r="H77" s="47"/>
      <c r="I77" s="44"/>
      <c r="J77" s="43"/>
      <c r="K77" s="43"/>
      <c r="L77" s="43"/>
      <c r="M77" s="43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34"/>
      <c r="C78" s="35"/>
      <c r="D78" s="47"/>
      <c r="E78" s="47"/>
      <c r="F78" s="39"/>
      <c r="G78" s="44"/>
      <c r="H78" s="47"/>
      <c r="I78" s="44"/>
      <c r="J78" s="43"/>
      <c r="K78" s="43"/>
      <c r="L78" s="43"/>
      <c r="M78" s="43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34"/>
      <c r="C79" s="35"/>
      <c r="D79" s="47"/>
      <c r="E79" s="47"/>
      <c r="F79" s="39"/>
      <c r="G79" s="44"/>
      <c r="H79" s="47"/>
      <c r="I79" s="44"/>
      <c r="J79" s="43"/>
      <c r="K79" s="43"/>
      <c r="L79" s="43"/>
      <c r="M79" s="43">
        <f t="shared" ref="M79:M80" si="2">(K79-J79)*E79</f>
        <v>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34"/>
      <c r="C80" s="35"/>
      <c r="D80" s="47"/>
      <c r="E80" s="47"/>
      <c r="F80" s="39"/>
      <c r="G80" s="44"/>
      <c r="H80" s="47"/>
      <c r="I80" s="44"/>
      <c r="J80" s="43"/>
      <c r="K80" s="43"/>
      <c r="L80" s="43"/>
      <c r="M80" s="43">
        <f t="shared" si="2"/>
        <v>0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6" t="s">
        <v>38</v>
      </c>
      <c r="D82" s="57"/>
      <c r="E82" s="57"/>
      <c r="F82" s="57"/>
      <c r="G82" s="5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9"/>
      <c r="G83" s="60"/>
      <c r="H83" s="43">
        <v>0.0</v>
      </c>
      <c r="I83" s="61" t="s">
        <v>39</v>
      </c>
      <c r="J83" s="62"/>
      <c r="K83" s="62"/>
      <c r="L83" s="62"/>
      <c r="M83" s="63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64"/>
      <c r="D84" s="65"/>
      <c r="E84" s="65"/>
      <c r="F84" s="65"/>
      <c r="G84" s="66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5"/>
      <c r="C85" s="67" t="s">
        <v>40</v>
      </c>
      <c r="D85" s="62"/>
      <c r="E85" s="62"/>
      <c r="F85" s="62"/>
      <c r="G85" s="14"/>
      <c r="H85" s="68" t="str">
        <f>SUM(#REF!)</f>
        <v>#REF!</v>
      </c>
      <c r="I85" s="69" t="s">
        <v>41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9.5" customHeight="1">
      <c r="A87" s="5"/>
      <c r="B87" s="5"/>
      <c r="C87" s="67" t="s">
        <v>42</v>
      </c>
      <c r="D87" s="62"/>
      <c r="E87" s="62"/>
      <c r="F87" s="62"/>
      <c r="G87" s="63"/>
      <c r="H87" s="68" t="str">
        <f>H83+H85</f>
        <v>#REF!</v>
      </c>
      <c r="I87" s="69" t="s">
        <v>41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75" customHeight="1">
      <c r="A89" s="5"/>
      <c r="B89" s="5"/>
      <c r="C89" s="67" t="s">
        <v>43</v>
      </c>
      <c r="D89" s="62"/>
      <c r="E89" s="62"/>
      <c r="F89" s="62"/>
      <c r="G89" s="63"/>
      <c r="H89" s="68" t="str">
        <f>IF(H87&lt;=20000,H85,IF(H83&gt;20000,0,20000-H83))</f>
        <v>#REF!</v>
      </c>
      <c r="I89" s="69" t="s">
        <v>41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5"/>
      <c r="C91" s="67" t="s">
        <v>44</v>
      </c>
      <c r="D91" s="62"/>
      <c r="E91" s="62"/>
      <c r="F91" s="62"/>
      <c r="G91" s="14"/>
      <c r="H91" s="68" t="str">
        <f>IF(H87&gt;20000,H87-H83-H89,0)</f>
        <v>#REF!</v>
      </c>
      <c r="I91" s="69" t="s">
        <v>41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7.25" customHeight="1">
      <c r="A93" s="5"/>
      <c r="B93" s="5"/>
      <c r="C93" s="70" t="s">
        <v>45</v>
      </c>
      <c r="D93" s="71">
        <v>3.79</v>
      </c>
      <c r="E93" s="72" t="s">
        <v>46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5"/>
      <c r="B94" s="5"/>
      <c r="C94" s="32"/>
      <c r="D94" s="71">
        <v>2.23</v>
      </c>
      <c r="E94" s="72" t="s">
        <v>47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30.0" customHeight="1">
      <c r="A96" s="5"/>
      <c r="B96" s="5"/>
      <c r="C96" s="73" t="s">
        <v>48</v>
      </c>
      <c r="D96" s="62"/>
      <c r="E96" s="62"/>
      <c r="F96" s="14"/>
      <c r="G96" s="74" t="str">
        <f>(H89*D93)+(H91*D94)</f>
        <v>#REF!</v>
      </c>
      <c r="H96" s="12"/>
      <c r="I96" s="69" t="s">
        <v>41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75" t="s">
        <v>49</v>
      </c>
      <c r="D98" s="76"/>
      <c r="E98" s="77"/>
      <c r="F98" s="78"/>
      <c r="G98" s="76"/>
      <c r="H98" s="76"/>
      <c r="I98" s="77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79"/>
      <c r="D99" s="65"/>
      <c r="E99" s="80"/>
      <c r="F99" s="79"/>
      <c r="G99" s="65"/>
      <c r="H99" s="65"/>
      <c r="I99" s="80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3.25" customHeight="1">
      <c r="A100" s="5"/>
      <c r="B100" s="5"/>
      <c r="C100" s="81" t="s">
        <v>50</v>
      </c>
      <c r="D100" s="15"/>
      <c r="E100" s="12"/>
      <c r="F100" s="82"/>
      <c r="G100" s="15"/>
      <c r="H100" s="15"/>
      <c r="I100" s="12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30">
    <mergeCell ref="A5:D5"/>
    <mergeCell ref="B7:M7"/>
    <mergeCell ref="C9:D9"/>
    <mergeCell ref="H9:I9"/>
    <mergeCell ref="J9:M9"/>
    <mergeCell ref="C10:D10"/>
    <mergeCell ref="H10:I10"/>
    <mergeCell ref="J10:M10"/>
    <mergeCell ref="B14:M14"/>
    <mergeCell ref="B16:B17"/>
    <mergeCell ref="C16:C17"/>
    <mergeCell ref="D16:E16"/>
    <mergeCell ref="H16:I16"/>
    <mergeCell ref="J16:K16"/>
    <mergeCell ref="F16:G16"/>
    <mergeCell ref="C82:G84"/>
    <mergeCell ref="I83:M83"/>
    <mergeCell ref="C85:G85"/>
    <mergeCell ref="C87:G87"/>
    <mergeCell ref="C89:G89"/>
    <mergeCell ref="C91:G91"/>
    <mergeCell ref="C100:E100"/>
    <mergeCell ref="F100:I100"/>
    <mergeCell ref="C93:C94"/>
    <mergeCell ref="E93:I93"/>
    <mergeCell ref="E94:I94"/>
    <mergeCell ref="C96:F96"/>
    <mergeCell ref="G96:H96"/>
    <mergeCell ref="C98:E99"/>
    <mergeCell ref="F98:I99"/>
  </mergeCells>
  <dataValidations>
    <dataValidation type="decimal" allowBlank="1" showInputMessage="1" showErrorMessage="1" prompt="Ugyldigt tal - Tallet på kilometertælleren skal være mellem 0 and 999.999,9" sqref="J18:K30 J32:K32">
      <formula1>0.0</formula1>
      <formula2>999999.9</formula2>
    </dataValidation>
  </dataValidations>
  <hyperlinks>
    <hyperlink r:id="rId1" ref="A13"/>
  </hyperlinks>
  <printOptions/>
  <pageMargins bottom="0.75" footer="0.0" header="0.0" left="0.7" right="0.7" top="0.75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0.13"/>
    <col customWidth="1" min="3" max="3" width="62.25"/>
    <col customWidth="1" min="4" max="4" width="12.25"/>
    <col customWidth="1" min="5" max="5" width="12.38"/>
    <col customWidth="1" min="6" max="6" width="20.88"/>
    <col customWidth="1" min="7" max="7" width="11.25"/>
    <col customWidth="1" min="8" max="8" width="19.38"/>
    <col customWidth="1" min="9" max="9" width="11.63"/>
    <col customWidth="1" min="10" max="10" width="13.38"/>
    <col customWidth="1" min="11" max="11" width="14.13"/>
    <col customWidth="1" min="12" max="13" width="14.5"/>
    <col customWidth="1" min="14" max="14" width="19.5"/>
    <col customWidth="1" min="15" max="26" width="8.75"/>
  </cols>
  <sheetData>
    <row r="1" ht="12.75" customHeight="1">
      <c r="A1" s="5"/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9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8"/>
      <c r="B9" s="10" t="s">
        <v>4</v>
      </c>
      <c r="C9" s="88">
        <v>45444.0</v>
      </c>
      <c r="D9" s="12"/>
      <c r="E9" s="9"/>
      <c r="F9" s="9"/>
      <c r="G9" s="9"/>
      <c r="H9" s="13" t="s">
        <v>6</v>
      </c>
      <c r="I9" s="14"/>
      <c r="J9" s="11" t="s">
        <v>7</v>
      </c>
      <c r="K9" s="15"/>
      <c r="L9" s="15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8"/>
      <c r="B10" s="16" t="s">
        <v>8</v>
      </c>
      <c r="C10" s="101" t="s">
        <v>63</v>
      </c>
      <c r="D10" s="12"/>
      <c r="E10" s="9"/>
      <c r="F10" s="9"/>
      <c r="G10" s="9"/>
      <c r="H10" s="13" t="s">
        <v>10</v>
      </c>
      <c r="I10" s="14"/>
      <c r="J10" s="17" t="s">
        <v>11</v>
      </c>
      <c r="K10" s="18"/>
      <c r="L10" s="18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20" t="s">
        <v>12</v>
      </c>
      <c r="K11" s="21">
        <f>SUM(L18:L32)</f>
        <v>336</v>
      </c>
      <c r="L11" s="9"/>
      <c r="M11" s="9"/>
      <c r="N11" s="100" t="s">
        <v>85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8"/>
      <c r="B12" s="9"/>
      <c r="C12" s="9"/>
      <c r="D12" s="9"/>
      <c r="E12" s="9"/>
      <c r="F12" s="9"/>
      <c r="G12" s="9"/>
      <c r="H12" s="9"/>
      <c r="I12" s="9"/>
      <c r="J12" s="20" t="s">
        <v>13</v>
      </c>
      <c r="K12" s="89">
        <v>3.79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90" t="s">
        <v>53</v>
      </c>
      <c r="B13" s="8"/>
      <c r="C13" s="8"/>
      <c r="D13" s="8"/>
      <c r="E13" s="5"/>
      <c r="F13" s="5"/>
      <c r="G13" s="5"/>
      <c r="H13" s="5"/>
      <c r="I13" s="5"/>
      <c r="J13" s="20" t="s">
        <v>15</v>
      </c>
      <c r="K13" s="22">
        <f>SUM(K11*K12)</f>
        <v>1273.44</v>
      </c>
      <c r="L13" s="10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24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27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5.25" customHeight="1">
      <c r="A16" s="5"/>
      <c r="B16" s="29" t="s">
        <v>17</v>
      </c>
      <c r="C16" s="30" t="s">
        <v>18</v>
      </c>
      <c r="D16" s="31" t="s">
        <v>19</v>
      </c>
      <c r="E16" s="26"/>
      <c r="F16" s="31" t="s">
        <v>20</v>
      </c>
      <c r="G16" s="26"/>
      <c r="H16" s="31" t="s">
        <v>21</v>
      </c>
      <c r="I16" s="26"/>
      <c r="J16" s="31" t="s">
        <v>22</v>
      </c>
      <c r="K16" s="26"/>
      <c r="L16" s="104"/>
      <c r="M16" s="10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32"/>
      <c r="C17" s="32"/>
      <c r="D17" s="33" t="s">
        <v>24</v>
      </c>
      <c r="E17" s="33" t="s">
        <v>25</v>
      </c>
      <c r="F17" s="33" t="s">
        <v>26</v>
      </c>
      <c r="G17" s="33" t="s">
        <v>27</v>
      </c>
      <c r="H17" s="33" t="s">
        <v>26</v>
      </c>
      <c r="I17" s="33" t="s">
        <v>27</v>
      </c>
      <c r="J17" s="33" t="s">
        <v>28</v>
      </c>
      <c r="K17" s="33" t="s">
        <v>29</v>
      </c>
      <c r="L17" s="105" t="s">
        <v>24</v>
      </c>
      <c r="M17" s="33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5"/>
      <c r="B18" s="102">
        <v>45446.0</v>
      </c>
      <c r="C18" s="93" t="s">
        <v>74</v>
      </c>
      <c r="D18" s="36">
        <v>1.0</v>
      </c>
      <c r="E18" s="47"/>
      <c r="F18" s="3" t="s">
        <v>31</v>
      </c>
      <c r="G18" s="44">
        <v>2791.0</v>
      </c>
      <c r="H18" s="95" t="s">
        <v>75</v>
      </c>
      <c r="I18" s="108">
        <v>1801.0</v>
      </c>
      <c r="J18" s="96">
        <v>16.0</v>
      </c>
      <c r="K18" s="97">
        <v>16.0</v>
      </c>
      <c r="L18" s="106">
        <f t="shared" ref="L18:L27" si="1">SUM(J18:K18)</f>
        <v>32</v>
      </c>
      <c r="M18" s="4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5"/>
      <c r="B19" s="102">
        <v>45447.0</v>
      </c>
      <c r="C19" s="93" t="s">
        <v>76</v>
      </c>
      <c r="D19" s="94">
        <v>1.0</v>
      </c>
      <c r="E19" s="47"/>
      <c r="F19" s="3" t="s">
        <v>31</v>
      </c>
      <c r="G19" s="44">
        <v>2791.0</v>
      </c>
      <c r="H19" s="95" t="s">
        <v>77</v>
      </c>
      <c r="I19" s="108">
        <v>2650.0</v>
      </c>
      <c r="J19" s="96">
        <v>20.0</v>
      </c>
      <c r="K19" s="96">
        <v>20.0</v>
      </c>
      <c r="L19" s="106">
        <f t="shared" si="1"/>
        <v>40</v>
      </c>
      <c r="M19" s="4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102">
        <v>45448.0</v>
      </c>
      <c r="C20" s="93" t="s">
        <v>74</v>
      </c>
      <c r="D20" s="36">
        <v>1.0</v>
      </c>
      <c r="E20" s="47"/>
      <c r="F20" s="3" t="s">
        <v>31</v>
      </c>
      <c r="G20" s="44">
        <v>2791.0</v>
      </c>
      <c r="H20" s="95" t="s">
        <v>78</v>
      </c>
      <c r="I20" s="108">
        <v>1801.0</v>
      </c>
      <c r="J20" s="96">
        <v>16.0</v>
      </c>
      <c r="K20" s="97">
        <v>16.0</v>
      </c>
      <c r="L20" s="106">
        <f t="shared" si="1"/>
        <v>32</v>
      </c>
      <c r="M20" s="4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102">
        <v>45453.0</v>
      </c>
      <c r="C21" s="93" t="s">
        <v>74</v>
      </c>
      <c r="D21" s="36">
        <v>1.0</v>
      </c>
      <c r="E21" s="47"/>
      <c r="F21" s="3" t="s">
        <v>31</v>
      </c>
      <c r="G21" s="44">
        <v>2791.0</v>
      </c>
      <c r="H21" s="95" t="s">
        <v>79</v>
      </c>
      <c r="I21" s="108">
        <v>1801.0</v>
      </c>
      <c r="J21" s="96">
        <v>16.0</v>
      </c>
      <c r="K21" s="97">
        <v>16.0</v>
      </c>
      <c r="L21" s="106">
        <f t="shared" si="1"/>
        <v>32</v>
      </c>
      <c r="M21" s="4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102">
        <v>45454.0</v>
      </c>
      <c r="C22" s="93" t="s">
        <v>76</v>
      </c>
      <c r="D22" s="94">
        <v>1.0</v>
      </c>
      <c r="E22" s="47"/>
      <c r="F22" s="3" t="s">
        <v>31</v>
      </c>
      <c r="G22" s="44">
        <v>2791.0</v>
      </c>
      <c r="H22" s="95" t="s">
        <v>77</v>
      </c>
      <c r="I22" s="108">
        <v>2650.0</v>
      </c>
      <c r="J22" s="96">
        <v>20.0</v>
      </c>
      <c r="K22" s="96">
        <v>20.0</v>
      </c>
      <c r="L22" s="106">
        <f t="shared" si="1"/>
        <v>40</v>
      </c>
      <c r="M22" s="4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102">
        <v>45455.0</v>
      </c>
      <c r="C23" s="93" t="s">
        <v>74</v>
      </c>
      <c r="D23" s="36">
        <v>1.0</v>
      </c>
      <c r="E23" s="47"/>
      <c r="F23" s="3" t="s">
        <v>31</v>
      </c>
      <c r="G23" s="44">
        <v>2791.0</v>
      </c>
      <c r="H23" s="95" t="s">
        <v>80</v>
      </c>
      <c r="I23" s="108">
        <v>1801.0</v>
      </c>
      <c r="J23" s="96">
        <v>16.0</v>
      </c>
      <c r="K23" s="97">
        <v>16.0</v>
      </c>
      <c r="L23" s="106">
        <f t="shared" si="1"/>
        <v>32</v>
      </c>
      <c r="M23" s="4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102">
        <v>45460.0</v>
      </c>
      <c r="C24" s="93" t="s">
        <v>74</v>
      </c>
      <c r="D24" s="36">
        <v>1.0</v>
      </c>
      <c r="E24" s="47"/>
      <c r="F24" s="3" t="s">
        <v>31</v>
      </c>
      <c r="G24" s="44">
        <v>2791.0</v>
      </c>
      <c r="H24" s="95" t="s">
        <v>81</v>
      </c>
      <c r="I24" s="108">
        <v>1801.0</v>
      </c>
      <c r="J24" s="96">
        <v>16.0</v>
      </c>
      <c r="K24" s="97">
        <v>16.0</v>
      </c>
      <c r="L24" s="106">
        <f t="shared" si="1"/>
        <v>32</v>
      </c>
      <c r="M24" s="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102">
        <v>45462.0</v>
      </c>
      <c r="C25" s="93" t="s">
        <v>74</v>
      </c>
      <c r="D25" s="36">
        <v>1.0</v>
      </c>
      <c r="E25" s="47"/>
      <c r="F25" s="3" t="s">
        <v>31</v>
      </c>
      <c r="G25" s="44">
        <v>2791.0</v>
      </c>
      <c r="H25" s="95" t="s">
        <v>82</v>
      </c>
      <c r="I25" s="108">
        <v>1801.0</v>
      </c>
      <c r="J25" s="96">
        <v>16.0</v>
      </c>
      <c r="K25" s="97">
        <v>16.0</v>
      </c>
      <c r="L25" s="106">
        <f t="shared" si="1"/>
        <v>32</v>
      </c>
      <c r="M25" s="4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102">
        <v>45467.0</v>
      </c>
      <c r="C26" s="93" t="s">
        <v>74</v>
      </c>
      <c r="D26" s="36">
        <v>1.0</v>
      </c>
      <c r="E26" s="47"/>
      <c r="F26" s="3" t="s">
        <v>31</v>
      </c>
      <c r="G26" s="44">
        <v>2791.0</v>
      </c>
      <c r="H26" s="95" t="s">
        <v>83</v>
      </c>
      <c r="I26" s="108">
        <v>1801.0</v>
      </c>
      <c r="J26" s="96">
        <v>16.0</v>
      </c>
      <c r="K26" s="97">
        <v>16.0</v>
      </c>
      <c r="L26" s="106">
        <f t="shared" si="1"/>
        <v>32</v>
      </c>
      <c r="M26" s="4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102">
        <v>45469.0</v>
      </c>
      <c r="C27" s="93" t="s">
        <v>74</v>
      </c>
      <c r="D27" s="36">
        <v>1.0</v>
      </c>
      <c r="E27" s="47"/>
      <c r="F27" s="3" t="s">
        <v>31</v>
      </c>
      <c r="G27" s="44">
        <v>2791.0</v>
      </c>
      <c r="H27" s="95" t="s">
        <v>84</v>
      </c>
      <c r="I27" s="108">
        <v>1801.0</v>
      </c>
      <c r="J27" s="96">
        <v>16.0</v>
      </c>
      <c r="K27" s="97">
        <v>16.0</v>
      </c>
      <c r="L27" s="106">
        <f t="shared" si="1"/>
        <v>32</v>
      </c>
      <c r="M27" s="4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34"/>
      <c r="C29" s="35"/>
      <c r="D29" s="36"/>
      <c r="E29" s="47"/>
      <c r="G29" s="44"/>
      <c r="H29" s="39"/>
      <c r="I29" s="44"/>
      <c r="J29" s="41"/>
      <c r="K29" s="42"/>
      <c r="L29" s="106"/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34"/>
      <c r="C30" s="35"/>
      <c r="D30" s="47"/>
      <c r="E30" s="47"/>
      <c r="F30" s="39"/>
      <c r="G30" s="44"/>
      <c r="H30" s="47"/>
      <c r="I30" s="44"/>
      <c r="J30" s="43"/>
      <c r="K30" s="43"/>
      <c r="L30" s="43"/>
      <c r="M30" s="4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34"/>
      <c r="C31" s="35"/>
      <c r="D31" s="47"/>
      <c r="E31" s="47"/>
      <c r="F31" s="39"/>
      <c r="G31" s="44"/>
      <c r="H31" s="47"/>
      <c r="I31" s="44"/>
      <c r="J31" s="43"/>
      <c r="K31" s="43"/>
      <c r="L31" s="43"/>
      <c r="M31" s="4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34"/>
      <c r="C32" s="35"/>
      <c r="D32" s="47"/>
      <c r="E32" s="47"/>
      <c r="F32" s="39"/>
      <c r="G32" s="44"/>
      <c r="H32" s="47"/>
      <c r="I32" s="44"/>
      <c r="J32" s="43"/>
      <c r="K32" s="43"/>
      <c r="L32" s="43"/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34"/>
      <c r="C33" s="35"/>
      <c r="D33" s="47"/>
      <c r="E33" s="47"/>
      <c r="F33" s="39"/>
      <c r="G33" s="44"/>
      <c r="H33" s="47"/>
      <c r="I33" s="44"/>
      <c r="J33" s="43"/>
      <c r="K33" s="43"/>
      <c r="L33" s="43"/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34"/>
      <c r="C34" s="35"/>
      <c r="D34" s="47"/>
      <c r="E34" s="47"/>
      <c r="F34" s="39"/>
      <c r="G34" s="44"/>
      <c r="H34" s="47"/>
      <c r="I34" s="44"/>
      <c r="J34" s="43"/>
      <c r="K34" s="43"/>
      <c r="L34" s="43"/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34"/>
      <c r="C35" s="35"/>
      <c r="D35" s="47"/>
      <c r="E35" s="47"/>
      <c r="F35" s="39"/>
      <c r="G35" s="44"/>
      <c r="H35" s="47"/>
      <c r="I35" s="44"/>
      <c r="J35" s="43"/>
      <c r="K35" s="43"/>
      <c r="L35" s="43"/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34"/>
      <c r="C36" s="35"/>
      <c r="D36" s="47"/>
      <c r="E36" s="47"/>
      <c r="F36" s="39"/>
      <c r="G36" s="44"/>
      <c r="H36" s="47"/>
      <c r="I36" s="44"/>
      <c r="J36" s="43"/>
      <c r="K36" s="43"/>
      <c r="L36" s="43"/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34"/>
      <c r="C37" s="35"/>
      <c r="D37" s="47"/>
      <c r="E37" s="47"/>
      <c r="F37" s="39"/>
      <c r="G37" s="44"/>
      <c r="H37" s="47"/>
      <c r="I37" s="44"/>
      <c r="J37" s="43"/>
      <c r="K37" s="43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34"/>
      <c r="C38" s="35"/>
      <c r="D38" s="47"/>
      <c r="E38" s="47"/>
      <c r="F38" s="39"/>
      <c r="G38" s="44"/>
      <c r="H38" s="47"/>
      <c r="I38" s="44"/>
      <c r="J38" s="43"/>
      <c r="K38" s="43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34"/>
      <c r="C39" s="35"/>
      <c r="D39" s="47"/>
      <c r="E39" s="47"/>
      <c r="F39" s="39"/>
      <c r="G39" s="44"/>
      <c r="H39" s="47"/>
      <c r="I39" s="44"/>
      <c r="J39" s="43"/>
      <c r="K39" s="43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34"/>
      <c r="C40" s="35"/>
      <c r="D40" s="47"/>
      <c r="E40" s="47"/>
      <c r="F40" s="39"/>
      <c r="G40" s="44"/>
      <c r="H40" s="47"/>
      <c r="I40" s="44"/>
      <c r="J40" s="43"/>
      <c r="K40" s="43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34"/>
      <c r="C41" s="35"/>
      <c r="D41" s="47"/>
      <c r="E41" s="47"/>
      <c r="F41" s="39"/>
      <c r="G41" s="44"/>
      <c r="H41" s="47"/>
      <c r="I41" s="44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34"/>
      <c r="C42" s="35"/>
      <c r="D42" s="47"/>
      <c r="E42" s="47"/>
      <c r="F42" s="39"/>
      <c r="G42" s="44"/>
      <c r="H42" s="47"/>
      <c r="I42" s="44"/>
      <c r="J42" s="43"/>
      <c r="K42" s="43"/>
      <c r="L42" s="43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34"/>
      <c r="C43" s="35"/>
      <c r="D43" s="47"/>
      <c r="E43" s="47"/>
      <c r="F43" s="39"/>
      <c r="G43" s="44"/>
      <c r="H43" s="47"/>
      <c r="I43" s="44"/>
      <c r="J43" s="43"/>
      <c r="K43" s="43"/>
      <c r="L43" s="43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34"/>
      <c r="C44" s="35"/>
      <c r="D44" s="47"/>
      <c r="E44" s="47"/>
      <c r="F44" s="39"/>
      <c r="G44" s="44"/>
      <c r="H44" s="47"/>
      <c r="I44" s="44"/>
      <c r="J44" s="43"/>
      <c r="K44" s="43"/>
      <c r="L44" s="43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34"/>
      <c r="C45" s="35"/>
      <c r="D45" s="47"/>
      <c r="E45" s="47"/>
      <c r="F45" s="39"/>
      <c r="G45" s="44"/>
      <c r="H45" s="47"/>
      <c r="I45" s="44"/>
      <c r="J45" s="43"/>
      <c r="K45" s="43"/>
      <c r="L45" s="43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34"/>
      <c r="C46" s="53"/>
      <c r="D46" s="54"/>
      <c r="E46" s="54"/>
      <c r="F46" s="39"/>
      <c r="G46" s="44"/>
      <c r="H46" s="54"/>
      <c r="I46" s="44"/>
      <c r="J46" s="55"/>
      <c r="K46" s="55"/>
      <c r="L46" s="107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34"/>
      <c r="C47" s="35"/>
      <c r="D47" s="47"/>
      <c r="E47" s="47"/>
      <c r="F47" s="39"/>
      <c r="G47" s="44"/>
      <c r="H47" s="47"/>
      <c r="I47" s="44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34"/>
      <c r="C48" s="35"/>
      <c r="D48" s="47"/>
      <c r="E48" s="47"/>
      <c r="F48" s="39"/>
      <c r="G48" s="44"/>
      <c r="H48" s="47"/>
      <c r="I48" s="44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34"/>
      <c r="C49" s="35"/>
      <c r="D49" s="47"/>
      <c r="E49" s="47"/>
      <c r="F49" s="39"/>
      <c r="G49" s="44"/>
      <c r="H49" s="47"/>
      <c r="I49" s="44"/>
      <c r="J49" s="43"/>
      <c r="K49" s="43"/>
      <c r="L49" s="43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34"/>
      <c r="C50" s="35"/>
      <c r="D50" s="47"/>
      <c r="E50" s="47"/>
      <c r="F50" s="39"/>
      <c r="G50" s="44"/>
      <c r="H50" s="47"/>
      <c r="I50" s="44"/>
      <c r="J50" s="43"/>
      <c r="K50" s="43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34"/>
      <c r="C51" s="35"/>
      <c r="D51" s="47"/>
      <c r="E51" s="47"/>
      <c r="F51" s="39"/>
      <c r="G51" s="44"/>
      <c r="H51" s="47"/>
      <c r="I51" s="44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34"/>
      <c r="C52" s="35"/>
      <c r="D52" s="47"/>
      <c r="E52" s="47"/>
      <c r="F52" s="39"/>
      <c r="G52" s="44"/>
      <c r="H52" s="47"/>
      <c r="I52" s="44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34"/>
      <c r="C53" s="35"/>
      <c r="D53" s="47"/>
      <c r="E53" s="47"/>
      <c r="F53" s="39"/>
      <c r="G53" s="44"/>
      <c r="H53" s="47"/>
      <c r="I53" s="44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34"/>
      <c r="C54" s="35"/>
      <c r="D54" s="47"/>
      <c r="E54" s="47"/>
      <c r="F54" s="39"/>
      <c r="G54" s="44"/>
      <c r="H54" s="47"/>
      <c r="I54" s="44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34"/>
      <c r="C55" s="35"/>
      <c r="D55" s="47"/>
      <c r="E55" s="47"/>
      <c r="F55" s="39"/>
      <c r="G55" s="44"/>
      <c r="H55" s="47"/>
      <c r="I55" s="44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34"/>
      <c r="C56" s="35"/>
      <c r="D56" s="47"/>
      <c r="E56" s="47"/>
      <c r="F56" s="39"/>
      <c r="G56" s="44"/>
      <c r="H56" s="47"/>
      <c r="I56" s="44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34"/>
      <c r="C57" s="35"/>
      <c r="D57" s="47"/>
      <c r="E57" s="47"/>
      <c r="F57" s="39"/>
      <c r="G57" s="44"/>
      <c r="H57" s="47"/>
      <c r="I57" s="44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34"/>
      <c r="C58" s="35"/>
      <c r="D58" s="47"/>
      <c r="E58" s="47"/>
      <c r="F58" s="39"/>
      <c r="G58" s="44"/>
      <c r="H58" s="47"/>
      <c r="I58" s="44"/>
      <c r="J58" s="43"/>
      <c r="K58" s="43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34"/>
      <c r="C59" s="35"/>
      <c r="D59" s="47"/>
      <c r="E59" s="47"/>
      <c r="F59" s="39"/>
      <c r="G59" s="44"/>
      <c r="H59" s="47"/>
      <c r="I59" s="44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34"/>
      <c r="C60" s="35"/>
      <c r="D60" s="47"/>
      <c r="E60" s="47"/>
      <c r="F60" s="39"/>
      <c r="G60" s="44"/>
      <c r="H60" s="47"/>
      <c r="I60" s="44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34"/>
      <c r="C61" s="35"/>
      <c r="D61" s="47"/>
      <c r="E61" s="47"/>
      <c r="F61" s="39"/>
      <c r="G61" s="44"/>
      <c r="H61" s="47"/>
      <c r="I61" s="44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34"/>
      <c r="C62" s="35"/>
      <c r="D62" s="47"/>
      <c r="E62" s="47"/>
      <c r="F62" s="39"/>
      <c r="G62" s="44"/>
      <c r="H62" s="47"/>
      <c r="I62" s="44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34"/>
      <c r="C63" s="35"/>
      <c r="D63" s="47"/>
      <c r="E63" s="47"/>
      <c r="F63" s="39"/>
      <c r="G63" s="44"/>
      <c r="H63" s="47"/>
      <c r="I63" s="44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34"/>
      <c r="C64" s="35"/>
      <c r="D64" s="47"/>
      <c r="E64" s="47"/>
      <c r="F64" s="39"/>
      <c r="G64" s="44"/>
      <c r="H64" s="47"/>
      <c r="I64" s="44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34"/>
      <c r="C65" s="35"/>
      <c r="D65" s="47"/>
      <c r="E65" s="47"/>
      <c r="F65" s="39"/>
      <c r="G65" s="44"/>
      <c r="H65" s="47"/>
      <c r="I65" s="44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34"/>
      <c r="C66" s="35"/>
      <c r="D66" s="47"/>
      <c r="E66" s="47"/>
      <c r="F66" s="39"/>
      <c r="G66" s="44"/>
      <c r="H66" s="47"/>
      <c r="I66" s="44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34"/>
      <c r="C67" s="35"/>
      <c r="D67" s="47"/>
      <c r="E67" s="47"/>
      <c r="F67" s="39"/>
      <c r="G67" s="44"/>
      <c r="H67" s="47"/>
      <c r="I67" s="44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34"/>
      <c r="C68" s="35"/>
      <c r="D68" s="47"/>
      <c r="E68" s="47"/>
      <c r="F68" s="39"/>
      <c r="G68" s="44"/>
      <c r="H68" s="47"/>
      <c r="I68" s="44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34"/>
      <c r="C69" s="35"/>
      <c r="D69" s="47"/>
      <c r="E69" s="47"/>
      <c r="F69" s="39"/>
      <c r="G69" s="44"/>
      <c r="H69" s="47"/>
      <c r="I69" s="44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34"/>
      <c r="C70" s="35"/>
      <c r="D70" s="47"/>
      <c r="E70" s="47"/>
      <c r="F70" s="39"/>
      <c r="G70" s="44"/>
      <c r="H70" s="47"/>
      <c r="I70" s="44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34"/>
      <c r="C71" s="35"/>
      <c r="D71" s="47"/>
      <c r="E71" s="47"/>
      <c r="F71" s="39"/>
      <c r="G71" s="44"/>
      <c r="H71" s="47"/>
      <c r="I71" s="44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34"/>
      <c r="C72" s="35"/>
      <c r="D72" s="47"/>
      <c r="E72" s="47"/>
      <c r="F72" s="39"/>
      <c r="G72" s="44"/>
      <c r="H72" s="47"/>
      <c r="I72" s="44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34"/>
      <c r="C73" s="35"/>
      <c r="D73" s="47"/>
      <c r="E73" s="47"/>
      <c r="F73" s="39"/>
      <c r="G73" s="44"/>
      <c r="H73" s="47"/>
      <c r="I73" s="44"/>
      <c r="J73" s="43"/>
      <c r="K73" s="43"/>
      <c r="L73" s="43"/>
      <c r="M73" s="4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34"/>
      <c r="C74" s="35"/>
      <c r="D74" s="47"/>
      <c r="E74" s="47"/>
      <c r="F74" s="39"/>
      <c r="G74" s="44"/>
      <c r="H74" s="47"/>
      <c r="I74" s="44"/>
      <c r="J74" s="43"/>
      <c r="K74" s="43"/>
      <c r="L74" s="43"/>
      <c r="M74" s="4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34"/>
      <c r="C75" s="35"/>
      <c r="D75" s="47"/>
      <c r="E75" s="47"/>
      <c r="F75" s="39"/>
      <c r="G75" s="44"/>
      <c r="H75" s="47"/>
      <c r="I75" s="44"/>
      <c r="J75" s="43"/>
      <c r="K75" s="43"/>
      <c r="L75" s="43"/>
      <c r="M75" s="43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34"/>
      <c r="C76" s="35"/>
      <c r="D76" s="47"/>
      <c r="E76" s="47"/>
      <c r="F76" s="39"/>
      <c r="G76" s="44"/>
      <c r="H76" s="47"/>
      <c r="I76" s="44"/>
      <c r="J76" s="43"/>
      <c r="K76" s="43"/>
      <c r="L76" s="43"/>
      <c r="M76" s="43">
        <f t="shared" ref="M76:M77" si="2">(K76-J76)*E76</f>
        <v>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34"/>
      <c r="C77" s="35"/>
      <c r="D77" s="47"/>
      <c r="E77" s="47"/>
      <c r="F77" s="39"/>
      <c r="G77" s="44"/>
      <c r="H77" s="47"/>
      <c r="I77" s="44"/>
      <c r="J77" s="43"/>
      <c r="K77" s="43"/>
      <c r="L77" s="43"/>
      <c r="M77" s="43">
        <f t="shared" si="2"/>
        <v>0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6" t="s">
        <v>38</v>
      </c>
      <c r="D79" s="57"/>
      <c r="E79" s="57"/>
      <c r="F79" s="57"/>
      <c r="G79" s="5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9"/>
      <c r="G80" s="60"/>
      <c r="H80" s="43">
        <v>0.0</v>
      </c>
      <c r="I80" s="61" t="s">
        <v>39</v>
      </c>
      <c r="J80" s="62"/>
      <c r="K80" s="62"/>
      <c r="L80" s="62"/>
      <c r="M80" s="63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64"/>
      <c r="D81" s="65"/>
      <c r="E81" s="65"/>
      <c r="F81" s="65"/>
      <c r="G81" s="66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5"/>
      <c r="B82" s="5"/>
      <c r="C82" s="67" t="s">
        <v>40</v>
      </c>
      <c r="D82" s="62"/>
      <c r="E82" s="62"/>
      <c r="F82" s="62"/>
      <c r="G82" s="14"/>
      <c r="H82" s="68" t="str">
        <f>SUM(#REF!)</f>
        <v>#REF!</v>
      </c>
      <c r="I82" s="69" t="s">
        <v>41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9.5" customHeight="1">
      <c r="A84" s="5"/>
      <c r="B84" s="5"/>
      <c r="C84" s="67" t="s">
        <v>42</v>
      </c>
      <c r="D84" s="62"/>
      <c r="E84" s="62"/>
      <c r="F84" s="62"/>
      <c r="G84" s="63"/>
      <c r="H84" s="68" t="str">
        <f>H80+H82</f>
        <v>#REF!</v>
      </c>
      <c r="I84" s="69" t="s">
        <v>41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75" customHeight="1">
      <c r="A86" s="5"/>
      <c r="B86" s="5"/>
      <c r="C86" s="67" t="s">
        <v>43</v>
      </c>
      <c r="D86" s="62"/>
      <c r="E86" s="62"/>
      <c r="F86" s="62"/>
      <c r="G86" s="63"/>
      <c r="H86" s="68" t="str">
        <f>IF(H84&lt;=20000,H82,IF(H80&gt;20000,0,20000-H80))</f>
        <v>#REF!</v>
      </c>
      <c r="I86" s="69" t="s">
        <v>41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5"/>
      <c r="C88" s="67" t="s">
        <v>44</v>
      </c>
      <c r="D88" s="62"/>
      <c r="E88" s="62"/>
      <c r="F88" s="62"/>
      <c r="G88" s="14"/>
      <c r="H88" s="68" t="str">
        <f>IF(H84&gt;20000,H84-H80-H86,0)</f>
        <v>#REF!</v>
      </c>
      <c r="I88" s="69" t="s">
        <v>41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7.25" customHeight="1">
      <c r="A90" s="5"/>
      <c r="B90" s="5"/>
      <c r="C90" s="70" t="s">
        <v>45</v>
      </c>
      <c r="D90" s="71">
        <v>3.79</v>
      </c>
      <c r="E90" s="72" t="s">
        <v>46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5"/>
      <c r="B91" s="5"/>
      <c r="C91" s="32"/>
      <c r="D91" s="71">
        <v>2.23</v>
      </c>
      <c r="E91" s="72" t="s">
        <v>47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30.0" customHeight="1">
      <c r="A93" s="5"/>
      <c r="B93" s="5"/>
      <c r="C93" s="73" t="s">
        <v>48</v>
      </c>
      <c r="D93" s="62"/>
      <c r="E93" s="62"/>
      <c r="F93" s="14"/>
      <c r="G93" s="74" t="str">
        <f>(H86*D90)+(H88*D91)</f>
        <v>#REF!</v>
      </c>
      <c r="H93" s="12"/>
      <c r="I93" s="69" t="s">
        <v>41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75" t="s">
        <v>49</v>
      </c>
      <c r="D95" s="76"/>
      <c r="E95" s="77"/>
      <c r="F95" s="78"/>
      <c r="G95" s="76"/>
      <c r="H95" s="76"/>
      <c r="I95" s="7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79"/>
      <c r="D96" s="65"/>
      <c r="E96" s="80"/>
      <c r="F96" s="79"/>
      <c r="G96" s="65"/>
      <c r="H96" s="65"/>
      <c r="I96" s="80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3.25" customHeight="1">
      <c r="A97" s="5"/>
      <c r="B97" s="5"/>
      <c r="C97" s="81" t="s">
        <v>50</v>
      </c>
      <c r="D97" s="15"/>
      <c r="E97" s="12"/>
      <c r="F97" s="82"/>
      <c r="G97" s="15"/>
      <c r="H97" s="15"/>
      <c r="I97" s="12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0">
    <mergeCell ref="A5:D5"/>
    <mergeCell ref="B7:M7"/>
    <mergeCell ref="C9:D9"/>
    <mergeCell ref="H9:I9"/>
    <mergeCell ref="J9:M9"/>
    <mergeCell ref="C10:D10"/>
    <mergeCell ref="H10:I10"/>
    <mergeCell ref="J10:M10"/>
    <mergeCell ref="B14:M14"/>
    <mergeCell ref="B16:B17"/>
    <mergeCell ref="C16:C17"/>
    <mergeCell ref="D16:E16"/>
    <mergeCell ref="H16:I16"/>
    <mergeCell ref="J16:K16"/>
    <mergeCell ref="F16:G16"/>
    <mergeCell ref="C79:G81"/>
    <mergeCell ref="I80:M80"/>
    <mergeCell ref="C82:G82"/>
    <mergeCell ref="C84:G84"/>
    <mergeCell ref="C86:G86"/>
    <mergeCell ref="C88:G88"/>
    <mergeCell ref="C97:E97"/>
    <mergeCell ref="F97:I97"/>
    <mergeCell ref="C90:C91"/>
    <mergeCell ref="E90:I90"/>
    <mergeCell ref="E91:I91"/>
    <mergeCell ref="C93:F93"/>
    <mergeCell ref="G93:H93"/>
    <mergeCell ref="C95:E96"/>
    <mergeCell ref="F95:I96"/>
  </mergeCells>
  <dataValidations>
    <dataValidation type="decimal" allowBlank="1" showInputMessage="1" showErrorMessage="1" prompt="Ugyldigt tal - Tallet på kilometertælleren skal være mellem 0 and 999.999,9" sqref="J18:K27 J29:K29">
      <formula1>0.0</formula1>
      <formula2>999999.9</formula2>
    </dataValidation>
  </dataValidations>
  <hyperlinks>
    <hyperlink r:id="rId1" ref="A13"/>
  </hyperlinks>
  <printOptions/>
  <pageMargins bottom="0.75" footer="0.0" header="0.0" left="0.7" right="0.7" top="0.75"/>
  <pageSetup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0.13"/>
    <col customWidth="1" min="3" max="3" width="62.25"/>
    <col customWidth="1" min="4" max="4" width="12.25"/>
    <col customWidth="1" min="5" max="5" width="12.38"/>
    <col customWidth="1" min="6" max="6" width="20.88"/>
    <col customWidth="1" min="7" max="7" width="11.25"/>
    <col customWidth="1" min="8" max="8" width="30.63"/>
    <col customWidth="1" min="9" max="9" width="11.63"/>
    <col customWidth="1" min="10" max="10" width="13.38"/>
    <col customWidth="1" min="11" max="11" width="14.13"/>
    <col customWidth="1" min="12" max="13" width="14.5"/>
    <col customWidth="1" min="14" max="14" width="19.5"/>
    <col customWidth="1" min="15" max="26" width="8.75"/>
  </cols>
  <sheetData>
    <row r="1" ht="12.75" customHeight="1">
      <c r="A1" s="5"/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9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8"/>
      <c r="B9" s="10" t="s">
        <v>4</v>
      </c>
      <c r="C9" s="88">
        <v>45474.0</v>
      </c>
      <c r="D9" s="12"/>
      <c r="E9" s="9"/>
      <c r="F9" s="9"/>
      <c r="G9" s="9"/>
      <c r="H9" s="13" t="s">
        <v>6</v>
      </c>
      <c r="I9" s="14"/>
      <c r="J9" s="11" t="s">
        <v>7</v>
      </c>
      <c r="K9" s="15"/>
      <c r="L9" s="15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8"/>
      <c r="B10" s="16" t="s">
        <v>8</v>
      </c>
      <c r="C10" s="101" t="s">
        <v>63</v>
      </c>
      <c r="D10" s="12"/>
      <c r="E10" s="9"/>
      <c r="F10" s="9"/>
      <c r="G10" s="9"/>
      <c r="H10" s="13" t="s">
        <v>10</v>
      </c>
      <c r="I10" s="14"/>
      <c r="J10" s="17" t="s">
        <v>11</v>
      </c>
      <c r="K10" s="18"/>
      <c r="L10" s="18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20" t="s">
        <v>12</v>
      </c>
      <c r="K11" s="21">
        <f>SUM(L18:L30)</f>
        <v>258</v>
      </c>
      <c r="L11" s="9"/>
      <c r="M11" s="9"/>
      <c r="N11" s="100" t="s">
        <v>85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8"/>
      <c r="B12" s="9"/>
      <c r="C12" s="9"/>
      <c r="D12" s="9"/>
      <c r="E12" s="9"/>
      <c r="F12" s="9"/>
      <c r="G12" s="9"/>
      <c r="H12" s="9"/>
      <c r="I12" s="9"/>
      <c r="J12" s="20" t="s">
        <v>13</v>
      </c>
      <c r="K12" s="89">
        <v>3.79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90" t="s">
        <v>53</v>
      </c>
      <c r="B13" s="8"/>
      <c r="C13" s="8"/>
      <c r="D13" s="8"/>
      <c r="E13" s="5"/>
      <c r="F13" s="5"/>
      <c r="G13" s="5"/>
      <c r="H13" s="5"/>
      <c r="I13" s="5"/>
      <c r="J13" s="20" t="s">
        <v>15</v>
      </c>
      <c r="K13" s="22">
        <f>SUM(K11*K12)</f>
        <v>977.82</v>
      </c>
      <c r="L13" s="10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24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27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5.25" customHeight="1">
      <c r="A16" s="5"/>
      <c r="B16" s="29" t="s">
        <v>17</v>
      </c>
      <c r="C16" s="30" t="s">
        <v>18</v>
      </c>
      <c r="D16" s="31" t="s">
        <v>19</v>
      </c>
      <c r="E16" s="26"/>
      <c r="F16" s="31" t="s">
        <v>20</v>
      </c>
      <c r="G16" s="26"/>
      <c r="H16" s="31" t="s">
        <v>21</v>
      </c>
      <c r="I16" s="26"/>
      <c r="J16" s="31" t="s">
        <v>22</v>
      </c>
      <c r="K16" s="26"/>
      <c r="L16" s="104"/>
      <c r="M16" s="10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32"/>
      <c r="C17" s="32"/>
      <c r="D17" s="33" t="s">
        <v>24</v>
      </c>
      <c r="E17" s="33" t="s">
        <v>25</v>
      </c>
      <c r="F17" s="33" t="s">
        <v>26</v>
      </c>
      <c r="G17" s="33" t="s">
        <v>27</v>
      </c>
      <c r="H17" s="33" t="s">
        <v>26</v>
      </c>
      <c r="I17" s="33" t="s">
        <v>27</v>
      </c>
      <c r="J17" s="33" t="s">
        <v>28</v>
      </c>
      <c r="K17" s="33" t="s">
        <v>29</v>
      </c>
      <c r="L17" s="105" t="s">
        <v>24</v>
      </c>
      <c r="M17" s="33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5"/>
      <c r="B18" s="109">
        <v>45474.0</v>
      </c>
      <c r="C18" s="93" t="s">
        <v>86</v>
      </c>
      <c r="D18" s="36">
        <v>1.0</v>
      </c>
      <c r="E18" s="47"/>
      <c r="F18" s="3" t="s">
        <v>31</v>
      </c>
      <c r="G18" s="44">
        <v>2791.0</v>
      </c>
      <c r="H18" s="95" t="s">
        <v>87</v>
      </c>
      <c r="I18" s="108">
        <v>2400.0</v>
      </c>
      <c r="J18" s="96">
        <v>23.0</v>
      </c>
      <c r="K18" s="97">
        <v>23.0</v>
      </c>
      <c r="L18" s="106">
        <f t="shared" ref="L18:L24" si="1">SUM(J18:K18)</f>
        <v>46</v>
      </c>
      <c r="M18" s="4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110"/>
      <c r="B19" s="111">
        <v>45474.0</v>
      </c>
      <c r="C19" s="112" t="s">
        <v>74</v>
      </c>
      <c r="D19" s="113">
        <v>1.0</v>
      </c>
      <c r="E19" s="114"/>
      <c r="F19" s="115" t="s">
        <v>31</v>
      </c>
      <c r="G19" s="116">
        <v>2791.0</v>
      </c>
      <c r="H19" s="112" t="s">
        <v>75</v>
      </c>
      <c r="I19" s="117">
        <v>1801.0</v>
      </c>
      <c r="J19" s="118">
        <v>16.0</v>
      </c>
      <c r="K19" s="119">
        <v>16.0</v>
      </c>
      <c r="L19" s="120">
        <f t="shared" si="1"/>
        <v>32</v>
      </c>
      <c r="M19" s="121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 ht="12.75" customHeight="1">
      <c r="A20" s="5"/>
      <c r="B20" s="102">
        <v>45447.0</v>
      </c>
      <c r="C20" s="93" t="s">
        <v>76</v>
      </c>
      <c r="D20" s="94">
        <v>1.0</v>
      </c>
      <c r="E20" s="47"/>
      <c r="F20" s="3" t="s">
        <v>31</v>
      </c>
      <c r="G20" s="44">
        <v>2791.0</v>
      </c>
      <c r="H20" s="95" t="s">
        <v>77</v>
      </c>
      <c r="I20" s="108">
        <v>2650.0</v>
      </c>
      <c r="J20" s="96">
        <v>20.0</v>
      </c>
      <c r="K20" s="96">
        <v>20.0</v>
      </c>
      <c r="L20" s="106">
        <f t="shared" si="1"/>
        <v>40</v>
      </c>
      <c r="M20" s="4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110"/>
      <c r="B21" s="123">
        <v>45481.0</v>
      </c>
      <c r="C21" s="112" t="s">
        <v>74</v>
      </c>
      <c r="D21" s="113">
        <v>1.0</v>
      </c>
      <c r="E21" s="114"/>
      <c r="F21" s="115" t="s">
        <v>31</v>
      </c>
      <c r="G21" s="116">
        <v>2791.0</v>
      </c>
      <c r="H21" s="112" t="s">
        <v>75</v>
      </c>
      <c r="I21" s="124">
        <v>1801.0</v>
      </c>
      <c r="J21" s="118">
        <v>16.0</v>
      </c>
      <c r="K21" s="119">
        <v>16.0</v>
      </c>
      <c r="L21" s="120">
        <f t="shared" si="1"/>
        <v>32</v>
      </c>
      <c r="M21" s="121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 ht="12.75" customHeight="1">
      <c r="A22" s="5"/>
      <c r="B22" s="102">
        <v>45454.0</v>
      </c>
      <c r="C22" s="93" t="s">
        <v>76</v>
      </c>
      <c r="D22" s="94">
        <v>1.0</v>
      </c>
      <c r="E22" s="47"/>
      <c r="F22" s="3" t="s">
        <v>31</v>
      </c>
      <c r="G22" s="44">
        <v>2791.0</v>
      </c>
      <c r="H22" s="95" t="s">
        <v>77</v>
      </c>
      <c r="I22" s="108">
        <v>2650.0</v>
      </c>
      <c r="J22" s="96">
        <v>20.0</v>
      </c>
      <c r="K22" s="96">
        <v>20.0</v>
      </c>
      <c r="L22" s="106">
        <f t="shared" si="1"/>
        <v>40</v>
      </c>
      <c r="M22" s="4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110"/>
      <c r="B23" s="123">
        <v>45488.0</v>
      </c>
      <c r="C23" s="112" t="s">
        <v>74</v>
      </c>
      <c r="D23" s="113">
        <v>1.0</v>
      </c>
      <c r="E23" s="114"/>
      <c r="F23" s="115" t="s">
        <v>31</v>
      </c>
      <c r="G23" s="116">
        <v>2791.0</v>
      </c>
      <c r="H23" s="112" t="s">
        <v>75</v>
      </c>
      <c r="I23" s="124">
        <v>1801.0</v>
      </c>
      <c r="J23" s="118">
        <v>16.0</v>
      </c>
      <c r="K23" s="119">
        <v>16.0</v>
      </c>
      <c r="L23" s="120">
        <f t="shared" si="1"/>
        <v>32</v>
      </c>
      <c r="M23" s="121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 ht="12.75" customHeight="1">
      <c r="A24" s="5"/>
      <c r="B24" s="123">
        <v>45492.0</v>
      </c>
      <c r="C24" s="93" t="s">
        <v>88</v>
      </c>
      <c r="D24" s="94">
        <v>1.0</v>
      </c>
      <c r="E24" s="47"/>
      <c r="F24" s="3" t="s">
        <v>31</v>
      </c>
      <c r="G24" s="116">
        <v>2791.0</v>
      </c>
      <c r="H24" s="95" t="s">
        <v>89</v>
      </c>
      <c r="I24" s="108">
        <v>2300.0</v>
      </c>
      <c r="J24" s="96">
        <v>18.0</v>
      </c>
      <c r="K24" s="97">
        <v>18.0</v>
      </c>
      <c r="L24" s="120">
        <f t="shared" si="1"/>
        <v>36</v>
      </c>
      <c r="M24" s="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102"/>
      <c r="C25" s="93"/>
      <c r="D25" s="36"/>
      <c r="E25" s="47"/>
      <c r="G25" s="44"/>
      <c r="H25" s="95"/>
      <c r="I25" s="108"/>
      <c r="J25" s="96"/>
      <c r="K25" s="97"/>
      <c r="L25" s="106"/>
      <c r="M25" s="4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34"/>
      <c r="C27" s="35"/>
      <c r="D27" s="36"/>
      <c r="E27" s="47"/>
      <c r="G27" s="44"/>
      <c r="H27" s="39"/>
      <c r="I27" s="44"/>
      <c r="J27" s="41"/>
      <c r="K27" s="42"/>
      <c r="L27" s="106"/>
      <c r="M27" s="4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34"/>
      <c r="C28" s="35"/>
      <c r="D28" s="47"/>
      <c r="E28" s="47"/>
      <c r="F28" s="39"/>
      <c r="G28" s="44"/>
      <c r="H28" s="47"/>
      <c r="I28" s="44"/>
      <c r="J28" s="43"/>
      <c r="K28" s="43"/>
      <c r="L28" s="43"/>
      <c r="M28" s="4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34"/>
      <c r="C29" s="35"/>
      <c r="D29" s="47"/>
      <c r="E29" s="47"/>
      <c r="F29" s="39"/>
      <c r="G29" s="44"/>
      <c r="H29" s="47"/>
      <c r="I29" s="44"/>
      <c r="J29" s="43"/>
      <c r="K29" s="43"/>
      <c r="L29" s="43"/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34"/>
      <c r="C30" s="35"/>
      <c r="D30" s="47"/>
      <c r="E30" s="47"/>
      <c r="F30" s="39"/>
      <c r="G30" s="44"/>
      <c r="H30" s="47"/>
      <c r="I30" s="44"/>
      <c r="J30" s="43"/>
      <c r="K30" s="43"/>
      <c r="L30" s="43"/>
      <c r="M30" s="4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34"/>
      <c r="C31" s="35"/>
      <c r="D31" s="47"/>
      <c r="E31" s="47"/>
      <c r="F31" s="39"/>
      <c r="G31" s="44"/>
      <c r="H31" s="47"/>
      <c r="I31" s="44"/>
      <c r="J31" s="43"/>
      <c r="K31" s="43"/>
      <c r="L31" s="43"/>
      <c r="M31" s="4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34"/>
      <c r="C32" s="35"/>
      <c r="D32" s="47"/>
      <c r="E32" s="47"/>
      <c r="F32" s="39"/>
      <c r="G32" s="44"/>
      <c r="H32" s="47"/>
      <c r="I32" s="44"/>
      <c r="J32" s="43"/>
      <c r="K32" s="43"/>
      <c r="L32" s="43"/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34"/>
      <c r="C33" s="35"/>
      <c r="D33" s="47"/>
      <c r="E33" s="47"/>
      <c r="F33" s="39"/>
      <c r="G33" s="44"/>
      <c r="H33" s="47"/>
      <c r="I33" s="44"/>
      <c r="J33" s="43"/>
      <c r="K33" s="43"/>
      <c r="L33" s="43"/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34"/>
      <c r="C34" s="35"/>
      <c r="D34" s="47"/>
      <c r="E34" s="47"/>
      <c r="F34" s="39"/>
      <c r="G34" s="44"/>
      <c r="H34" s="47"/>
      <c r="I34" s="44"/>
      <c r="J34" s="43"/>
      <c r="K34" s="43"/>
      <c r="L34" s="43"/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34"/>
      <c r="C35" s="35"/>
      <c r="D35" s="47"/>
      <c r="E35" s="47"/>
      <c r="F35" s="39"/>
      <c r="G35" s="44"/>
      <c r="H35" s="47"/>
      <c r="I35" s="44"/>
      <c r="J35" s="43"/>
      <c r="K35" s="43"/>
      <c r="L35" s="43"/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34"/>
      <c r="C36" s="35"/>
      <c r="D36" s="47"/>
      <c r="E36" s="47"/>
      <c r="F36" s="39"/>
      <c r="G36" s="44"/>
      <c r="H36" s="47"/>
      <c r="I36" s="44"/>
      <c r="J36" s="43"/>
      <c r="K36" s="43"/>
      <c r="L36" s="43"/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34"/>
      <c r="C37" s="35"/>
      <c r="D37" s="47"/>
      <c r="E37" s="47"/>
      <c r="F37" s="39"/>
      <c r="G37" s="44"/>
      <c r="H37" s="47"/>
      <c r="I37" s="44"/>
      <c r="J37" s="43"/>
      <c r="K37" s="43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34"/>
      <c r="C38" s="35"/>
      <c r="D38" s="47"/>
      <c r="E38" s="47"/>
      <c r="F38" s="39"/>
      <c r="G38" s="44"/>
      <c r="H38" s="47"/>
      <c r="I38" s="44"/>
      <c r="J38" s="43"/>
      <c r="K38" s="43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34"/>
      <c r="C39" s="35"/>
      <c r="D39" s="47"/>
      <c r="E39" s="47"/>
      <c r="F39" s="39"/>
      <c r="G39" s="44"/>
      <c r="H39" s="47"/>
      <c r="I39" s="44"/>
      <c r="J39" s="43"/>
      <c r="K39" s="43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34"/>
      <c r="C40" s="35"/>
      <c r="D40" s="47"/>
      <c r="E40" s="47"/>
      <c r="F40" s="39"/>
      <c r="G40" s="44"/>
      <c r="H40" s="47"/>
      <c r="I40" s="44"/>
      <c r="J40" s="43"/>
      <c r="K40" s="43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34"/>
      <c r="C41" s="35"/>
      <c r="D41" s="47"/>
      <c r="E41" s="47"/>
      <c r="F41" s="39"/>
      <c r="G41" s="44"/>
      <c r="H41" s="47"/>
      <c r="I41" s="44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34"/>
      <c r="C42" s="35"/>
      <c r="D42" s="47"/>
      <c r="E42" s="47"/>
      <c r="F42" s="39"/>
      <c r="G42" s="44"/>
      <c r="H42" s="47"/>
      <c r="I42" s="44"/>
      <c r="J42" s="43"/>
      <c r="K42" s="43"/>
      <c r="L42" s="43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34"/>
      <c r="C43" s="35"/>
      <c r="D43" s="47"/>
      <c r="E43" s="47"/>
      <c r="F43" s="39"/>
      <c r="G43" s="44"/>
      <c r="H43" s="47"/>
      <c r="I43" s="44"/>
      <c r="J43" s="43"/>
      <c r="K43" s="43"/>
      <c r="L43" s="43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34"/>
      <c r="C44" s="53"/>
      <c r="D44" s="54"/>
      <c r="E44" s="54"/>
      <c r="F44" s="39"/>
      <c r="G44" s="44"/>
      <c r="H44" s="54"/>
      <c r="I44" s="44"/>
      <c r="J44" s="55"/>
      <c r="K44" s="55"/>
      <c r="L44" s="107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34"/>
      <c r="C45" s="35"/>
      <c r="D45" s="47"/>
      <c r="E45" s="47"/>
      <c r="F45" s="39"/>
      <c r="G45" s="44"/>
      <c r="H45" s="47"/>
      <c r="I45" s="44"/>
      <c r="J45" s="43"/>
      <c r="K45" s="43"/>
      <c r="L45" s="43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34"/>
      <c r="C46" s="35"/>
      <c r="D46" s="47"/>
      <c r="E46" s="47"/>
      <c r="F46" s="39"/>
      <c r="G46" s="44"/>
      <c r="H46" s="47"/>
      <c r="I46" s="44"/>
      <c r="J46" s="43"/>
      <c r="K46" s="43"/>
      <c r="L46" s="43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34"/>
      <c r="C47" s="35"/>
      <c r="D47" s="47"/>
      <c r="E47" s="47"/>
      <c r="F47" s="39"/>
      <c r="G47" s="44"/>
      <c r="H47" s="47"/>
      <c r="I47" s="44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34"/>
      <c r="C48" s="35"/>
      <c r="D48" s="47"/>
      <c r="E48" s="47"/>
      <c r="F48" s="39"/>
      <c r="G48" s="44"/>
      <c r="H48" s="47"/>
      <c r="I48" s="44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34"/>
      <c r="C49" s="35"/>
      <c r="D49" s="47"/>
      <c r="E49" s="47"/>
      <c r="F49" s="39"/>
      <c r="G49" s="44"/>
      <c r="H49" s="47"/>
      <c r="I49" s="44"/>
      <c r="J49" s="43"/>
      <c r="K49" s="43"/>
      <c r="L49" s="43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34"/>
      <c r="C50" s="35"/>
      <c r="D50" s="47"/>
      <c r="E50" s="47"/>
      <c r="F50" s="39"/>
      <c r="G50" s="44"/>
      <c r="H50" s="47"/>
      <c r="I50" s="44"/>
      <c r="J50" s="43"/>
      <c r="K50" s="43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34"/>
      <c r="C51" s="35"/>
      <c r="D51" s="47"/>
      <c r="E51" s="47"/>
      <c r="F51" s="39"/>
      <c r="G51" s="44"/>
      <c r="H51" s="47"/>
      <c r="I51" s="44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34"/>
      <c r="C52" s="35"/>
      <c r="D52" s="47"/>
      <c r="E52" s="47"/>
      <c r="F52" s="39"/>
      <c r="G52" s="44"/>
      <c r="H52" s="47"/>
      <c r="I52" s="44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34"/>
      <c r="C53" s="35"/>
      <c r="D53" s="47"/>
      <c r="E53" s="47"/>
      <c r="F53" s="39"/>
      <c r="G53" s="44"/>
      <c r="H53" s="47"/>
      <c r="I53" s="44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34"/>
      <c r="C54" s="35"/>
      <c r="D54" s="47"/>
      <c r="E54" s="47"/>
      <c r="F54" s="39"/>
      <c r="G54" s="44"/>
      <c r="H54" s="47"/>
      <c r="I54" s="44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34"/>
      <c r="C55" s="35"/>
      <c r="D55" s="47"/>
      <c r="E55" s="47"/>
      <c r="F55" s="39"/>
      <c r="G55" s="44"/>
      <c r="H55" s="47"/>
      <c r="I55" s="44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34"/>
      <c r="C56" s="35"/>
      <c r="D56" s="47"/>
      <c r="E56" s="47"/>
      <c r="F56" s="39"/>
      <c r="G56" s="44"/>
      <c r="H56" s="47"/>
      <c r="I56" s="44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34"/>
      <c r="C57" s="35"/>
      <c r="D57" s="47"/>
      <c r="E57" s="47"/>
      <c r="F57" s="39"/>
      <c r="G57" s="44"/>
      <c r="H57" s="47"/>
      <c r="I57" s="44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34"/>
      <c r="C58" s="35"/>
      <c r="D58" s="47"/>
      <c r="E58" s="47"/>
      <c r="F58" s="39"/>
      <c r="G58" s="44"/>
      <c r="H58" s="47"/>
      <c r="I58" s="44"/>
      <c r="J58" s="43"/>
      <c r="K58" s="43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34"/>
      <c r="C59" s="35"/>
      <c r="D59" s="47"/>
      <c r="E59" s="47"/>
      <c r="F59" s="39"/>
      <c r="G59" s="44"/>
      <c r="H59" s="47"/>
      <c r="I59" s="44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34"/>
      <c r="C60" s="35"/>
      <c r="D60" s="47"/>
      <c r="E60" s="47"/>
      <c r="F60" s="39"/>
      <c r="G60" s="44"/>
      <c r="H60" s="47"/>
      <c r="I60" s="44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34"/>
      <c r="C61" s="35"/>
      <c r="D61" s="47"/>
      <c r="E61" s="47"/>
      <c r="F61" s="39"/>
      <c r="G61" s="44"/>
      <c r="H61" s="47"/>
      <c r="I61" s="44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34"/>
      <c r="C62" s="35"/>
      <c r="D62" s="47"/>
      <c r="E62" s="47"/>
      <c r="F62" s="39"/>
      <c r="G62" s="44"/>
      <c r="H62" s="47"/>
      <c r="I62" s="44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34"/>
      <c r="C63" s="35"/>
      <c r="D63" s="47"/>
      <c r="E63" s="47"/>
      <c r="F63" s="39"/>
      <c r="G63" s="44"/>
      <c r="H63" s="47"/>
      <c r="I63" s="44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34"/>
      <c r="C64" s="35"/>
      <c r="D64" s="47"/>
      <c r="E64" s="47"/>
      <c r="F64" s="39"/>
      <c r="G64" s="44"/>
      <c r="H64" s="47"/>
      <c r="I64" s="44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34"/>
      <c r="C65" s="35"/>
      <c r="D65" s="47"/>
      <c r="E65" s="47"/>
      <c r="F65" s="39"/>
      <c r="G65" s="44"/>
      <c r="H65" s="47"/>
      <c r="I65" s="44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34"/>
      <c r="C66" s="35"/>
      <c r="D66" s="47"/>
      <c r="E66" s="47"/>
      <c r="F66" s="39"/>
      <c r="G66" s="44"/>
      <c r="H66" s="47"/>
      <c r="I66" s="44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34"/>
      <c r="C67" s="35"/>
      <c r="D67" s="47"/>
      <c r="E67" s="47"/>
      <c r="F67" s="39"/>
      <c r="G67" s="44"/>
      <c r="H67" s="47"/>
      <c r="I67" s="44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34"/>
      <c r="C68" s="35"/>
      <c r="D68" s="47"/>
      <c r="E68" s="47"/>
      <c r="F68" s="39"/>
      <c r="G68" s="44"/>
      <c r="H68" s="47"/>
      <c r="I68" s="44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34"/>
      <c r="C69" s="35"/>
      <c r="D69" s="47"/>
      <c r="E69" s="47"/>
      <c r="F69" s="39"/>
      <c r="G69" s="44"/>
      <c r="H69" s="47"/>
      <c r="I69" s="44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34"/>
      <c r="C70" s="35"/>
      <c r="D70" s="47"/>
      <c r="E70" s="47"/>
      <c r="F70" s="39"/>
      <c r="G70" s="44"/>
      <c r="H70" s="47"/>
      <c r="I70" s="44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34"/>
      <c r="C71" s="35"/>
      <c r="D71" s="47"/>
      <c r="E71" s="47"/>
      <c r="F71" s="39"/>
      <c r="G71" s="44"/>
      <c r="H71" s="47"/>
      <c r="I71" s="44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34"/>
      <c r="C72" s="35"/>
      <c r="D72" s="47"/>
      <c r="E72" s="47"/>
      <c r="F72" s="39"/>
      <c r="G72" s="44"/>
      <c r="H72" s="47"/>
      <c r="I72" s="44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34"/>
      <c r="C73" s="35"/>
      <c r="D73" s="47"/>
      <c r="E73" s="47"/>
      <c r="F73" s="39"/>
      <c r="G73" s="44"/>
      <c r="H73" s="47"/>
      <c r="I73" s="44"/>
      <c r="J73" s="43"/>
      <c r="K73" s="43"/>
      <c r="L73" s="43"/>
      <c r="M73" s="4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34"/>
      <c r="C74" s="35"/>
      <c r="D74" s="47"/>
      <c r="E74" s="47"/>
      <c r="F74" s="39"/>
      <c r="G74" s="44"/>
      <c r="H74" s="47"/>
      <c r="I74" s="44"/>
      <c r="J74" s="43"/>
      <c r="K74" s="43"/>
      <c r="L74" s="43"/>
      <c r="M74" s="43">
        <f t="shared" ref="M74:M75" si="2">(K74-J74)*E74</f>
        <v>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34"/>
      <c r="C75" s="35"/>
      <c r="D75" s="47"/>
      <c r="E75" s="47"/>
      <c r="F75" s="39"/>
      <c r="G75" s="44"/>
      <c r="H75" s="47"/>
      <c r="I75" s="44"/>
      <c r="J75" s="43"/>
      <c r="K75" s="43"/>
      <c r="L75" s="43"/>
      <c r="M75" s="43">
        <f t="shared" si="2"/>
        <v>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6" t="s">
        <v>38</v>
      </c>
      <c r="D77" s="57"/>
      <c r="E77" s="57"/>
      <c r="F77" s="57"/>
      <c r="G77" s="5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9"/>
      <c r="G78" s="60"/>
      <c r="H78" s="43">
        <v>0.0</v>
      </c>
      <c r="I78" s="61" t="s">
        <v>39</v>
      </c>
      <c r="J78" s="62"/>
      <c r="K78" s="62"/>
      <c r="L78" s="62"/>
      <c r="M78" s="63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64"/>
      <c r="D79" s="65"/>
      <c r="E79" s="65"/>
      <c r="F79" s="65"/>
      <c r="G79" s="66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5"/>
      <c r="B80" s="5"/>
      <c r="C80" s="67" t="s">
        <v>40</v>
      </c>
      <c r="D80" s="62"/>
      <c r="E80" s="62"/>
      <c r="F80" s="62"/>
      <c r="G80" s="14"/>
      <c r="H80" s="68" t="str">
        <f>SUM(#REF!)</f>
        <v>#REF!</v>
      </c>
      <c r="I80" s="69" t="s">
        <v>41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9.5" customHeight="1">
      <c r="A82" s="5"/>
      <c r="B82" s="5"/>
      <c r="C82" s="67" t="s">
        <v>42</v>
      </c>
      <c r="D82" s="62"/>
      <c r="E82" s="62"/>
      <c r="F82" s="62"/>
      <c r="G82" s="63"/>
      <c r="H82" s="68" t="str">
        <f>H78+H80</f>
        <v>#REF!</v>
      </c>
      <c r="I82" s="69" t="s">
        <v>41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75" customHeight="1">
      <c r="A84" s="5"/>
      <c r="B84" s="5"/>
      <c r="C84" s="67" t="s">
        <v>43</v>
      </c>
      <c r="D84" s="62"/>
      <c r="E84" s="62"/>
      <c r="F84" s="62"/>
      <c r="G84" s="63"/>
      <c r="H84" s="68" t="str">
        <f>IF(H82&lt;=20000,H80,IF(H78&gt;20000,0,20000-H78))</f>
        <v>#REF!</v>
      </c>
      <c r="I84" s="69" t="s">
        <v>41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5"/>
      <c r="C86" s="67" t="s">
        <v>44</v>
      </c>
      <c r="D86" s="62"/>
      <c r="E86" s="62"/>
      <c r="F86" s="62"/>
      <c r="G86" s="14"/>
      <c r="H86" s="68" t="str">
        <f>IF(H82&gt;20000,H82-H78-H84,0)</f>
        <v>#REF!</v>
      </c>
      <c r="I86" s="69" t="s">
        <v>41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7.25" customHeight="1">
      <c r="A88" s="5"/>
      <c r="B88" s="5"/>
      <c r="C88" s="70" t="s">
        <v>45</v>
      </c>
      <c r="D88" s="71">
        <v>3.79</v>
      </c>
      <c r="E88" s="72" t="s">
        <v>46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5"/>
      <c r="B89" s="5"/>
      <c r="C89" s="32"/>
      <c r="D89" s="71">
        <v>2.23</v>
      </c>
      <c r="E89" s="72" t="s">
        <v>47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30.0" customHeight="1">
      <c r="A91" s="5"/>
      <c r="B91" s="5"/>
      <c r="C91" s="73" t="s">
        <v>48</v>
      </c>
      <c r="D91" s="62"/>
      <c r="E91" s="62"/>
      <c r="F91" s="14"/>
      <c r="G91" s="74" t="str">
        <f>(H84*D88)+(H86*D89)</f>
        <v>#REF!</v>
      </c>
      <c r="H91" s="12"/>
      <c r="I91" s="69" t="s">
        <v>41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75" t="s">
        <v>49</v>
      </c>
      <c r="D93" s="76"/>
      <c r="E93" s="77"/>
      <c r="F93" s="78"/>
      <c r="G93" s="76"/>
      <c r="H93" s="76"/>
      <c r="I93" s="7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79"/>
      <c r="D94" s="65"/>
      <c r="E94" s="80"/>
      <c r="F94" s="79"/>
      <c r="G94" s="65"/>
      <c r="H94" s="65"/>
      <c r="I94" s="80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3.25" customHeight="1">
      <c r="A95" s="5"/>
      <c r="B95" s="5"/>
      <c r="C95" s="81" t="s">
        <v>50</v>
      </c>
      <c r="D95" s="15"/>
      <c r="E95" s="12"/>
      <c r="F95" s="82"/>
      <c r="G95" s="15"/>
      <c r="H95" s="15"/>
      <c r="I95" s="12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5:D5"/>
    <mergeCell ref="B7:M7"/>
    <mergeCell ref="C9:D9"/>
    <mergeCell ref="H9:I9"/>
    <mergeCell ref="J9:M9"/>
    <mergeCell ref="C10:D10"/>
    <mergeCell ref="H10:I10"/>
    <mergeCell ref="J10:M10"/>
    <mergeCell ref="B14:M14"/>
    <mergeCell ref="B16:B17"/>
    <mergeCell ref="C16:C17"/>
    <mergeCell ref="D16:E16"/>
    <mergeCell ref="H16:I16"/>
    <mergeCell ref="J16:K16"/>
    <mergeCell ref="F16:G16"/>
    <mergeCell ref="C77:G79"/>
    <mergeCell ref="I78:M78"/>
    <mergeCell ref="C80:G80"/>
    <mergeCell ref="C82:G82"/>
    <mergeCell ref="C84:G84"/>
    <mergeCell ref="C86:G86"/>
    <mergeCell ref="C95:E95"/>
    <mergeCell ref="F95:I95"/>
    <mergeCell ref="C88:C89"/>
    <mergeCell ref="E88:I88"/>
    <mergeCell ref="E89:I89"/>
    <mergeCell ref="C91:F91"/>
    <mergeCell ref="G91:H91"/>
    <mergeCell ref="C93:E94"/>
    <mergeCell ref="F93:I94"/>
  </mergeCells>
  <dataValidations>
    <dataValidation type="decimal" allowBlank="1" showInputMessage="1" showErrorMessage="1" prompt="Ugyldigt tal - Tallet på kilometertælleren skal være mellem 0 and 999.999,9" sqref="J18:K25 J27:K27">
      <formula1>0.0</formula1>
      <formula2>999999.9</formula2>
    </dataValidation>
  </dataValidations>
  <hyperlinks>
    <hyperlink r:id="rId1" ref="A13"/>
  </hyperlinks>
  <printOptions/>
  <pageMargins bottom="0.75" footer="0.0" header="0.0" left="0.7" right="0.7" top="0.75"/>
  <pageSetup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0.13"/>
    <col customWidth="1" min="3" max="3" width="62.25"/>
    <col customWidth="1" min="4" max="4" width="12.25"/>
    <col customWidth="1" min="5" max="5" width="12.38"/>
    <col customWidth="1" min="6" max="6" width="20.88"/>
    <col customWidth="1" min="7" max="7" width="11.25"/>
    <col customWidth="1" min="8" max="8" width="19.38"/>
    <col customWidth="1" min="9" max="9" width="11.63"/>
    <col customWidth="1" min="10" max="10" width="13.38"/>
    <col customWidth="1" min="11" max="11" width="14.13"/>
    <col customWidth="1" min="12" max="13" width="14.5"/>
    <col customWidth="1" min="14" max="14" width="19.5"/>
    <col customWidth="1" min="15" max="26" width="8.75"/>
  </cols>
  <sheetData>
    <row r="1" ht="12.75" customHeight="1">
      <c r="A1" s="5"/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9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8"/>
      <c r="B9" s="10" t="s">
        <v>4</v>
      </c>
      <c r="C9" s="88">
        <v>45505.0</v>
      </c>
      <c r="D9" s="12"/>
      <c r="E9" s="9"/>
      <c r="F9" s="9"/>
      <c r="G9" s="9"/>
      <c r="H9" s="13" t="s">
        <v>6</v>
      </c>
      <c r="I9" s="14"/>
      <c r="J9" s="11" t="s">
        <v>7</v>
      </c>
      <c r="K9" s="15"/>
      <c r="L9" s="15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8"/>
      <c r="B10" s="16" t="s">
        <v>8</v>
      </c>
      <c r="C10" s="101" t="s">
        <v>63</v>
      </c>
      <c r="D10" s="12"/>
      <c r="E10" s="9"/>
      <c r="F10" s="9"/>
      <c r="G10" s="9"/>
      <c r="H10" s="13" t="s">
        <v>10</v>
      </c>
      <c r="I10" s="14"/>
      <c r="J10" s="17" t="s">
        <v>11</v>
      </c>
      <c r="K10" s="18"/>
      <c r="L10" s="18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20" t="s">
        <v>12</v>
      </c>
      <c r="K11" s="21">
        <f>SUM(L18:L29)</f>
        <v>807</v>
      </c>
      <c r="L11" s="9"/>
      <c r="M11" s="9"/>
      <c r="N11" s="100" t="s">
        <v>85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8"/>
      <c r="B12" s="9"/>
      <c r="C12" s="9"/>
      <c r="D12" s="9"/>
      <c r="E12" s="9"/>
      <c r="F12" s="9"/>
      <c r="G12" s="9"/>
      <c r="H12" s="9"/>
      <c r="I12" s="9"/>
      <c r="J12" s="20" t="s">
        <v>13</v>
      </c>
      <c r="K12" s="89">
        <v>3.79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90" t="s">
        <v>53</v>
      </c>
      <c r="B13" s="8"/>
      <c r="C13" s="8"/>
      <c r="D13" s="8"/>
      <c r="E13" s="5"/>
      <c r="F13" s="5"/>
      <c r="G13" s="5"/>
      <c r="H13" s="5"/>
      <c r="I13" s="5"/>
      <c r="J13" s="20" t="s">
        <v>15</v>
      </c>
      <c r="K13" s="22">
        <f>SUM(K11*K12)</f>
        <v>3058.53</v>
      </c>
      <c r="L13" s="10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24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27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5.25" customHeight="1">
      <c r="A16" s="5"/>
      <c r="B16" s="29" t="s">
        <v>17</v>
      </c>
      <c r="C16" s="30" t="s">
        <v>18</v>
      </c>
      <c r="D16" s="31" t="s">
        <v>19</v>
      </c>
      <c r="E16" s="26"/>
      <c r="F16" s="31" t="s">
        <v>20</v>
      </c>
      <c r="G16" s="26"/>
      <c r="H16" s="31" t="s">
        <v>21</v>
      </c>
      <c r="I16" s="26"/>
      <c r="J16" s="31" t="s">
        <v>22</v>
      </c>
      <c r="K16" s="26"/>
      <c r="L16" s="104"/>
      <c r="M16" s="10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32"/>
      <c r="C17" s="32"/>
      <c r="D17" s="33" t="s">
        <v>24</v>
      </c>
      <c r="E17" s="33" t="s">
        <v>25</v>
      </c>
      <c r="F17" s="33" t="s">
        <v>26</v>
      </c>
      <c r="G17" s="33" t="s">
        <v>27</v>
      </c>
      <c r="H17" s="33" t="s">
        <v>26</v>
      </c>
      <c r="I17" s="33" t="s">
        <v>27</v>
      </c>
      <c r="J17" s="33" t="s">
        <v>28</v>
      </c>
      <c r="K17" s="33" t="s">
        <v>29</v>
      </c>
      <c r="L17" s="105" t="s">
        <v>24</v>
      </c>
      <c r="M17" s="33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5"/>
      <c r="B18" s="102">
        <v>45505.0</v>
      </c>
      <c r="C18" s="93" t="s">
        <v>90</v>
      </c>
      <c r="D18" s="36">
        <v>1.0</v>
      </c>
      <c r="E18" s="47"/>
      <c r="F18" s="3" t="s">
        <v>31</v>
      </c>
      <c r="G18" s="44">
        <v>2791.0</v>
      </c>
      <c r="H18" s="95" t="s">
        <v>91</v>
      </c>
      <c r="I18" s="108">
        <v>6600.0</v>
      </c>
      <c r="J18" s="96">
        <v>257.0</v>
      </c>
      <c r="K18" s="97">
        <v>257.0</v>
      </c>
      <c r="L18" s="106">
        <f t="shared" ref="L18:L25" si="1">SUM(J18:K18)</f>
        <v>514</v>
      </c>
      <c r="M18" s="4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5"/>
      <c r="B19" s="102">
        <v>45511.0</v>
      </c>
      <c r="C19" s="93" t="s">
        <v>92</v>
      </c>
      <c r="D19" s="94">
        <v>1.0</v>
      </c>
      <c r="E19" s="47"/>
      <c r="F19" s="1" t="s">
        <v>31</v>
      </c>
      <c r="G19" s="44">
        <v>2791.0</v>
      </c>
      <c r="H19" s="95" t="s">
        <v>93</v>
      </c>
      <c r="I19" s="108">
        <v>2300.0</v>
      </c>
      <c r="J19" s="96">
        <v>14.0</v>
      </c>
      <c r="K19" s="97">
        <v>14.0</v>
      </c>
      <c r="L19" s="106">
        <f t="shared" si="1"/>
        <v>28</v>
      </c>
      <c r="M19" s="4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102">
        <v>45511.0</v>
      </c>
      <c r="C20" s="93" t="s">
        <v>94</v>
      </c>
      <c r="D20" s="94">
        <v>1.0</v>
      </c>
      <c r="E20" s="47"/>
      <c r="F20" s="1" t="s">
        <v>31</v>
      </c>
      <c r="G20" s="40">
        <v>2791.0</v>
      </c>
      <c r="H20" s="95" t="s">
        <v>95</v>
      </c>
      <c r="I20" s="108">
        <v>2300.0</v>
      </c>
      <c r="J20" s="96">
        <v>18.0</v>
      </c>
      <c r="K20" s="97">
        <v>18.0</v>
      </c>
      <c r="L20" s="106">
        <f t="shared" si="1"/>
        <v>36</v>
      </c>
      <c r="M20" s="4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102">
        <v>45523.0</v>
      </c>
      <c r="C21" s="93" t="s">
        <v>92</v>
      </c>
      <c r="D21" s="94">
        <v>1.0</v>
      </c>
      <c r="E21" s="47"/>
      <c r="F21" s="1" t="s">
        <v>31</v>
      </c>
      <c r="G21" s="44">
        <v>2791.0</v>
      </c>
      <c r="H21" s="95" t="s">
        <v>93</v>
      </c>
      <c r="I21" s="108">
        <v>2300.0</v>
      </c>
      <c r="J21" s="96">
        <v>18.0</v>
      </c>
      <c r="K21" s="97">
        <v>18.0</v>
      </c>
      <c r="L21" s="106">
        <f t="shared" si="1"/>
        <v>36</v>
      </c>
      <c r="M21" s="4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102">
        <v>45526.0</v>
      </c>
      <c r="C22" s="93" t="s">
        <v>92</v>
      </c>
      <c r="D22" s="94">
        <v>1.0</v>
      </c>
      <c r="E22" s="47"/>
      <c r="F22" s="1" t="s">
        <v>31</v>
      </c>
      <c r="G22" s="44">
        <v>2791.0</v>
      </c>
      <c r="H22" s="95" t="s">
        <v>93</v>
      </c>
      <c r="I22" s="108">
        <v>2300.0</v>
      </c>
      <c r="J22" s="96">
        <v>18.0</v>
      </c>
      <c r="K22" s="97">
        <v>18.0</v>
      </c>
      <c r="L22" s="106">
        <f t="shared" si="1"/>
        <v>36</v>
      </c>
      <c r="M22" s="4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102">
        <v>45533.0</v>
      </c>
      <c r="C23" s="93" t="s">
        <v>92</v>
      </c>
      <c r="D23" s="94">
        <v>1.0</v>
      </c>
      <c r="E23" s="47"/>
      <c r="F23" s="1" t="s">
        <v>31</v>
      </c>
      <c r="G23" s="44">
        <v>2791.0</v>
      </c>
      <c r="H23" s="95" t="s">
        <v>93</v>
      </c>
      <c r="I23" s="108">
        <v>2300.0</v>
      </c>
      <c r="J23" s="96">
        <v>18.0</v>
      </c>
      <c r="K23" s="97">
        <v>18.0</v>
      </c>
      <c r="L23" s="106">
        <f t="shared" si="1"/>
        <v>36</v>
      </c>
      <c r="M23" s="4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102">
        <v>45531.0</v>
      </c>
      <c r="C24" s="93" t="s">
        <v>92</v>
      </c>
      <c r="D24" s="94">
        <v>1.0</v>
      </c>
      <c r="E24" s="47"/>
      <c r="F24" s="1" t="s">
        <v>31</v>
      </c>
      <c r="G24" s="44">
        <v>2791.0</v>
      </c>
      <c r="H24" s="95" t="s">
        <v>93</v>
      </c>
      <c r="I24" s="108">
        <v>2300.0</v>
      </c>
      <c r="J24" s="96">
        <v>18.0</v>
      </c>
      <c r="K24" s="97">
        <v>18.0</v>
      </c>
      <c r="L24" s="106">
        <f t="shared" si="1"/>
        <v>36</v>
      </c>
      <c r="M24" s="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102">
        <v>45533.0</v>
      </c>
      <c r="C25" s="93" t="s">
        <v>96</v>
      </c>
      <c r="D25" s="94">
        <v>1.0</v>
      </c>
      <c r="E25" s="47"/>
      <c r="F25" s="1" t="s">
        <v>31</v>
      </c>
      <c r="G25" s="40">
        <v>2791.0</v>
      </c>
      <c r="H25" s="95" t="s">
        <v>97</v>
      </c>
      <c r="I25" s="108">
        <v>2840.0</v>
      </c>
      <c r="J25" s="96">
        <v>42.5</v>
      </c>
      <c r="K25" s="97">
        <v>42.5</v>
      </c>
      <c r="L25" s="106">
        <f t="shared" si="1"/>
        <v>85</v>
      </c>
      <c r="M25" s="4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34"/>
      <c r="C26" s="35"/>
      <c r="D26" s="36"/>
      <c r="E26" s="47"/>
      <c r="G26" s="44"/>
      <c r="H26" s="39"/>
      <c r="I26" s="44"/>
      <c r="J26" s="41"/>
      <c r="K26" s="42"/>
      <c r="L26" s="106"/>
      <c r="M26" s="4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34"/>
      <c r="C27" s="35"/>
      <c r="D27" s="47"/>
      <c r="E27" s="47"/>
      <c r="F27" s="39"/>
      <c r="G27" s="44"/>
      <c r="H27" s="47"/>
      <c r="I27" s="44"/>
      <c r="J27" s="43"/>
      <c r="K27" s="43"/>
      <c r="L27" s="43"/>
      <c r="M27" s="4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34"/>
      <c r="C28" s="35"/>
      <c r="D28" s="47"/>
      <c r="E28" s="47"/>
      <c r="F28" s="39"/>
      <c r="G28" s="44"/>
      <c r="H28" s="47"/>
      <c r="I28" s="44"/>
      <c r="J28" s="43"/>
      <c r="K28" s="43"/>
      <c r="L28" s="43"/>
      <c r="M28" s="4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34"/>
      <c r="C29" s="35"/>
      <c r="D29" s="47"/>
      <c r="E29" s="47"/>
      <c r="F29" s="39"/>
      <c r="G29" s="44"/>
      <c r="H29" s="47"/>
      <c r="I29" s="44"/>
      <c r="J29" s="43"/>
      <c r="K29" s="43"/>
      <c r="L29" s="43"/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34"/>
      <c r="C30" s="35"/>
      <c r="D30" s="47"/>
      <c r="E30" s="47"/>
      <c r="F30" s="39"/>
      <c r="G30" s="44"/>
      <c r="H30" s="47"/>
      <c r="I30" s="44"/>
      <c r="J30" s="43"/>
      <c r="K30" s="43"/>
      <c r="L30" s="43"/>
      <c r="M30" s="4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34"/>
      <c r="C31" s="35"/>
      <c r="D31" s="47"/>
      <c r="E31" s="47"/>
      <c r="F31" s="39"/>
      <c r="G31" s="44"/>
      <c r="H31" s="47"/>
      <c r="I31" s="44"/>
      <c r="J31" s="43"/>
      <c r="K31" s="43"/>
      <c r="L31" s="43"/>
      <c r="M31" s="4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34"/>
      <c r="C32" s="35"/>
      <c r="D32" s="47"/>
      <c r="E32" s="47"/>
      <c r="F32" s="39"/>
      <c r="G32" s="44"/>
      <c r="H32" s="47"/>
      <c r="I32" s="44"/>
      <c r="J32" s="43"/>
      <c r="K32" s="43"/>
      <c r="L32" s="43"/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34"/>
      <c r="C33" s="35"/>
      <c r="D33" s="47"/>
      <c r="E33" s="47"/>
      <c r="F33" s="39"/>
      <c r="G33" s="44"/>
      <c r="H33" s="47"/>
      <c r="I33" s="44"/>
      <c r="J33" s="43"/>
      <c r="K33" s="43"/>
      <c r="L33" s="43"/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34"/>
      <c r="C34" s="35"/>
      <c r="D34" s="47"/>
      <c r="E34" s="47"/>
      <c r="F34" s="39"/>
      <c r="G34" s="44"/>
      <c r="H34" s="47"/>
      <c r="I34" s="44"/>
      <c r="J34" s="43"/>
      <c r="K34" s="43"/>
      <c r="L34" s="43"/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34"/>
      <c r="C35" s="35"/>
      <c r="D35" s="47"/>
      <c r="E35" s="47"/>
      <c r="F35" s="39"/>
      <c r="G35" s="44"/>
      <c r="H35" s="47"/>
      <c r="I35" s="44"/>
      <c r="J35" s="43"/>
      <c r="K35" s="43"/>
      <c r="L35" s="43"/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34"/>
      <c r="C36" s="35"/>
      <c r="D36" s="47"/>
      <c r="E36" s="47"/>
      <c r="F36" s="39"/>
      <c r="G36" s="44"/>
      <c r="H36" s="47"/>
      <c r="I36" s="44"/>
      <c r="J36" s="43"/>
      <c r="K36" s="43"/>
      <c r="L36" s="43"/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34"/>
      <c r="C37" s="35"/>
      <c r="D37" s="47"/>
      <c r="E37" s="47"/>
      <c r="F37" s="39"/>
      <c r="G37" s="44"/>
      <c r="H37" s="47"/>
      <c r="I37" s="44"/>
      <c r="J37" s="43"/>
      <c r="K37" s="43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34"/>
      <c r="C38" s="35"/>
      <c r="D38" s="47"/>
      <c r="E38" s="47"/>
      <c r="F38" s="39"/>
      <c r="G38" s="44"/>
      <c r="H38" s="47"/>
      <c r="I38" s="44"/>
      <c r="J38" s="43"/>
      <c r="K38" s="43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34"/>
      <c r="C39" s="35"/>
      <c r="D39" s="47"/>
      <c r="E39" s="47"/>
      <c r="F39" s="39"/>
      <c r="G39" s="44"/>
      <c r="H39" s="47"/>
      <c r="I39" s="44"/>
      <c r="J39" s="43"/>
      <c r="K39" s="43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34"/>
      <c r="C40" s="35"/>
      <c r="D40" s="47"/>
      <c r="E40" s="47"/>
      <c r="F40" s="39"/>
      <c r="G40" s="44"/>
      <c r="H40" s="47"/>
      <c r="I40" s="44"/>
      <c r="J40" s="43"/>
      <c r="K40" s="43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34"/>
      <c r="C41" s="35"/>
      <c r="D41" s="47"/>
      <c r="E41" s="47"/>
      <c r="F41" s="39"/>
      <c r="G41" s="44"/>
      <c r="H41" s="47"/>
      <c r="I41" s="44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34"/>
      <c r="C42" s="35"/>
      <c r="D42" s="47"/>
      <c r="E42" s="47"/>
      <c r="F42" s="39"/>
      <c r="G42" s="44"/>
      <c r="H42" s="47"/>
      <c r="I42" s="44"/>
      <c r="J42" s="43"/>
      <c r="K42" s="43"/>
      <c r="L42" s="43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34"/>
      <c r="C43" s="53"/>
      <c r="D43" s="54"/>
      <c r="E43" s="54"/>
      <c r="F43" s="39"/>
      <c r="G43" s="44"/>
      <c r="H43" s="54"/>
      <c r="I43" s="44"/>
      <c r="J43" s="55"/>
      <c r="K43" s="55"/>
      <c r="L43" s="107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34"/>
      <c r="C44" s="35"/>
      <c r="D44" s="47"/>
      <c r="E44" s="47"/>
      <c r="F44" s="39"/>
      <c r="G44" s="44"/>
      <c r="H44" s="47"/>
      <c r="I44" s="44"/>
      <c r="J44" s="43"/>
      <c r="K44" s="43"/>
      <c r="L44" s="43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34"/>
      <c r="C45" s="35"/>
      <c r="D45" s="47"/>
      <c r="E45" s="47"/>
      <c r="F45" s="39"/>
      <c r="G45" s="44"/>
      <c r="H45" s="47"/>
      <c r="I45" s="44"/>
      <c r="J45" s="43"/>
      <c r="K45" s="43"/>
      <c r="L45" s="43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34"/>
      <c r="C46" s="35"/>
      <c r="D46" s="47"/>
      <c r="E46" s="47"/>
      <c r="F46" s="39"/>
      <c r="G46" s="44"/>
      <c r="H46" s="47"/>
      <c r="I46" s="44"/>
      <c r="J46" s="43"/>
      <c r="K46" s="43"/>
      <c r="L46" s="43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34"/>
      <c r="C47" s="35"/>
      <c r="D47" s="47"/>
      <c r="E47" s="47"/>
      <c r="F47" s="39"/>
      <c r="G47" s="44"/>
      <c r="H47" s="47"/>
      <c r="I47" s="44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34"/>
      <c r="C48" s="35"/>
      <c r="D48" s="47"/>
      <c r="E48" s="47"/>
      <c r="F48" s="39"/>
      <c r="G48" s="44"/>
      <c r="H48" s="47"/>
      <c r="I48" s="44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34"/>
      <c r="C49" s="35"/>
      <c r="D49" s="47"/>
      <c r="E49" s="47"/>
      <c r="F49" s="39"/>
      <c r="G49" s="44"/>
      <c r="H49" s="47"/>
      <c r="I49" s="44"/>
      <c r="J49" s="43"/>
      <c r="K49" s="43"/>
      <c r="L49" s="43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34"/>
      <c r="C50" s="35"/>
      <c r="D50" s="47"/>
      <c r="E50" s="47"/>
      <c r="F50" s="39"/>
      <c r="G50" s="44"/>
      <c r="H50" s="47"/>
      <c r="I50" s="44"/>
      <c r="J50" s="43"/>
      <c r="K50" s="43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34"/>
      <c r="C51" s="35"/>
      <c r="D51" s="47"/>
      <c r="E51" s="47"/>
      <c r="F51" s="39"/>
      <c r="G51" s="44"/>
      <c r="H51" s="47"/>
      <c r="I51" s="44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34"/>
      <c r="C52" s="35"/>
      <c r="D52" s="47"/>
      <c r="E52" s="47"/>
      <c r="F52" s="39"/>
      <c r="G52" s="44"/>
      <c r="H52" s="47"/>
      <c r="I52" s="44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34"/>
      <c r="C53" s="35"/>
      <c r="D53" s="47"/>
      <c r="E53" s="47"/>
      <c r="F53" s="39"/>
      <c r="G53" s="44"/>
      <c r="H53" s="47"/>
      <c r="I53" s="44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34"/>
      <c r="C54" s="35"/>
      <c r="D54" s="47"/>
      <c r="E54" s="47"/>
      <c r="F54" s="39"/>
      <c r="G54" s="44"/>
      <c r="H54" s="47"/>
      <c r="I54" s="44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34"/>
      <c r="C55" s="35"/>
      <c r="D55" s="47"/>
      <c r="E55" s="47"/>
      <c r="F55" s="39"/>
      <c r="G55" s="44"/>
      <c r="H55" s="47"/>
      <c r="I55" s="44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34"/>
      <c r="C56" s="35"/>
      <c r="D56" s="47"/>
      <c r="E56" s="47"/>
      <c r="F56" s="39"/>
      <c r="G56" s="44"/>
      <c r="H56" s="47"/>
      <c r="I56" s="44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34"/>
      <c r="C57" s="35"/>
      <c r="D57" s="47"/>
      <c r="E57" s="47"/>
      <c r="F57" s="39"/>
      <c r="G57" s="44"/>
      <c r="H57" s="47"/>
      <c r="I57" s="44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34"/>
      <c r="C58" s="35"/>
      <c r="D58" s="47"/>
      <c r="E58" s="47"/>
      <c r="F58" s="39"/>
      <c r="G58" s="44"/>
      <c r="H58" s="47"/>
      <c r="I58" s="44"/>
      <c r="J58" s="43"/>
      <c r="K58" s="43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34"/>
      <c r="C59" s="35"/>
      <c r="D59" s="47"/>
      <c r="E59" s="47"/>
      <c r="F59" s="39"/>
      <c r="G59" s="44"/>
      <c r="H59" s="47"/>
      <c r="I59" s="44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34"/>
      <c r="C60" s="35"/>
      <c r="D60" s="47"/>
      <c r="E60" s="47"/>
      <c r="F60" s="39"/>
      <c r="G60" s="44"/>
      <c r="H60" s="47"/>
      <c r="I60" s="44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34"/>
      <c r="C61" s="35"/>
      <c r="D61" s="47"/>
      <c r="E61" s="47"/>
      <c r="F61" s="39"/>
      <c r="G61" s="44"/>
      <c r="H61" s="47"/>
      <c r="I61" s="44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34"/>
      <c r="C62" s="35"/>
      <c r="D62" s="47"/>
      <c r="E62" s="47"/>
      <c r="F62" s="39"/>
      <c r="G62" s="44"/>
      <c r="H62" s="47"/>
      <c r="I62" s="44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34"/>
      <c r="C63" s="35"/>
      <c r="D63" s="47"/>
      <c r="E63" s="47"/>
      <c r="F63" s="39"/>
      <c r="G63" s="44"/>
      <c r="H63" s="47"/>
      <c r="I63" s="44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34"/>
      <c r="C64" s="35"/>
      <c r="D64" s="47"/>
      <c r="E64" s="47"/>
      <c r="F64" s="39"/>
      <c r="G64" s="44"/>
      <c r="H64" s="47"/>
      <c r="I64" s="44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34"/>
      <c r="C65" s="35"/>
      <c r="D65" s="47"/>
      <c r="E65" s="47"/>
      <c r="F65" s="39"/>
      <c r="G65" s="44"/>
      <c r="H65" s="47"/>
      <c r="I65" s="44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34"/>
      <c r="C66" s="35"/>
      <c r="D66" s="47"/>
      <c r="E66" s="47"/>
      <c r="F66" s="39"/>
      <c r="G66" s="44"/>
      <c r="H66" s="47"/>
      <c r="I66" s="44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34"/>
      <c r="C67" s="35"/>
      <c r="D67" s="47"/>
      <c r="E67" s="47"/>
      <c r="F67" s="39"/>
      <c r="G67" s="44"/>
      <c r="H67" s="47"/>
      <c r="I67" s="44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34"/>
      <c r="C68" s="35"/>
      <c r="D68" s="47"/>
      <c r="E68" s="47"/>
      <c r="F68" s="39"/>
      <c r="G68" s="44"/>
      <c r="H68" s="47"/>
      <c r="I68" s="44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34"/>
      <c r="C69" s="35"/>
      <c r="D69" s="47"/>
      <c r="E69" s="47"/>
      <c r="F69" s="39"/>
      <c r="G69" s="44"/>
      <c r="H69" s="47"/>
      <c r="I69" s="44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34"/>
      <c r="C70" s="35"/>
      <c r="D70" s="47"/>
      <c r="E70" s="47"/>
      <c r="F70" s="39"/>
      <c r="G70" s="44"/>
      <c r="H70" s="47"/>
      <c r="I70" s="44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34"/>
      <c r="C71" s="35"/>
      <c r="D71" s="47"/>
      <c r="E71" s="47"/>
      <c r="F71" s="39"/>
      <c r="G71" s="44"/>
      <c r="H71" s="47"/>
      <c r="I71" s="44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34"/>
      <c r="C72" s="35"/>
      <c r="D72" s="47"/>
      <c r="E72" s="47"/>
      <c r="F72" s="39"/>
      <c r="G72" s="44"/>
      <c r="H72" s="47"/>
      <c r="I72" s="44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34"/>
      <c r="C73" s="35"/>
      <c r="D73" s="47"/>
      <c r="E73" s="47"/>
      <c r="F73" s="39"/>
      <c r="G73" s="44"/>
      <c r="H73" s="47"/>
      <c r="I73" s="44"/>
      <c r="J73" s="43"/>
      <c r="K73" s="43"/>
      <c r="L73" s="43"/>
      <c r="M73" s="43">
        <f t="shared" ref="M73:M74" si="2">(K73-J73)*E73</f>
        <v>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34"/>
      <c r="C74" s="35"/>
      <c r="D74" s="47"/>
      <c r="E74" s="47"/>
      <c r="F74" s="39"/>
      <c r="G74" s="44"/>
      <c r="H74" s="47"/>
      <c r="I74" s="44"/>
      <c r="J74" s="43"/>
      <c r="K74" s="43"/>
      <c r="L74" s="43"/>
      <c r="M74" s="43">
        <f t="shared" si="2"/>
        <v>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6" t="s">
        <v>38</v>
      </c>
      <c r="D76" s="57"/>
      <c r="E76" s="57"/>
      <c r="F76" s="57"/>
      <c r="G76" s="5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9"/>
      <c r="G77" s="60"/>
      <c r="H77" s="43">
        <v>0.0</v>
      </c>
      <c r="I77" s="61" t="s">
        <v>39</v>
      </c>
      <c r="J77" s="62"/>
      <c r="K77" s="62"/>
      <c r="L77" s="62"/>
      <c r="M77" s="63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64"/>
      <c r="D78" s="65"/>
      <c r="E78" s="65"/>
      <c r="F78" s="65"/>
      <c r="G78" s="66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5"/>
      <c r="B79" s="5"/>
      <c r="C79" s="67" t="s">
        <v>40</v>
      </c>
      <c r="D79" s="62"/>
      <c r="E79" s="62"/>
      <c r="F79" s="62"/>
      <c r="G79" s="14"/>
      <c r="H79" s="68" t="str">
        <f>SUM(#REF!)</f>
        <v>#REF!</v>
      </c>
      <c r="I79" s="69" t="s">
        <v>41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9.5" customHeight="1">
      <c r="A81" s="5"/>
      <c r="B81" s="5"/>
      <c r="C81" s="67" t="s">
        <v>42</v>
      </c>
      <c r="D81" s="62"/>
      <c r="E81" s="62"/>
      <c r="F81" s="62"/>
      <c r="G81" s="63"/>
      <c r="H81" s="68" t="str">
        <f>H77+H79</f>
        <v>#REF!</v>
      </c>
      <c r="I81" s="69" t="s">
        <v>41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75" customHeight="1">
      <c r="A83" s="5"/>
      <c r="B83" s="5"/>
      <c r="C83" s="67" t="s">
        <v>43</v>
      </c>
      <c r="D83" s="62"/>
      <c r="E83" s="62"/>
      <c r="F83" s="62"/>
      <c r="G83" s="63"/>
      <c r="H83" s="68" t="str">
        <f>IF(H81&lt;=20000,H79,IF(H77&gt;20000,0,20000-H77))</f>
        <v>#REF!</v>
      </c>
      <c r="I83" s="69" t="s">
        <v>41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5"/>
      <c r="C85" s="67" t="s">
        <v>44</v>
      </c>
      <c r="D85" s="62"/>
      <c r="E85" s="62"/>
      <c r="F85" s="62"/>
      <c r="G85" s="14"/>
      <c r="H85" s="68" t="str">
        <f>IF(H81&gt;20000,H81-H77-H83,0)</f>
        <v>#REF!</v>
      </c>
      <c r="I85" s="69" t="s">
        <v>41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7.25" customHeight="1">
      <c r="A87" s="5"/>
      <c r="B87" s="5"/>
      <c r="C87" s="70" t="s">
        <v>45</v>
      </c>
      <c r="D87" s="71">
        <v>3.79</v>
      </c>
      <c r="E87" s="72" t="s">
        <v>46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5"/>
      <c r="B88" s="5"/>
      <c r="C88" s="32"/>
      <c r="D88" s="71">
        <v>2.23</v>
      </c>
      <c r="E88" s="72" t="s">
        <v>47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30.0" customHeight="1">
      <c r="A90" s="5"/>
      <c r="B90" s="5"/>
      <c r="C90" s="73" t="s">
        <v>48</v>
      </c>
      <c r="D90" s="62"/>
      <c r="E90" s="62"/>
      <c r="F90" s="14"/>
      <c r="G90" s="74" t="str">
        <f>(H83*D87)+(H85*D88)</f>
        <v>#REF!</v>
      </c>
      <c r="H90" s="12"/>
      <c r="I90" s="69" t="s">
        <v>41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75" t="s">
        <v>49</v>
      </c>
      <c r="D92" s="76"/>
      <c r="E92" s="77"/>
      <c r="F92" s="78"/>
      <c r="G92" s="76"/>
      <c r="H92" s="76"/>
      <c r="I92" s="77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79"/>
      <c r="D93" s="65"/>
      <c r="E93" s="80"/>
      <c r="F93" s="79"/>
      <c r="G93" s="65"/>
      <c r="H93" s="65"/>
      <c r="I93" s="80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3.25" customHeight="1">
      <c r="A94" s="5"/>
      <c r="B94" s="5"/>
      <c r="C94" s="81" t="s">
        <v>50</v>
      </c>
      <c r="D94" s="15"/>
      <c r="E94" s="12"/>
      <c r="F94" s="82"/>
      <c r="G94" s="15"/>
      <c r="H94" s="15"/>
      <c r="I94" s="12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0">
    <mergeCell ref="A5:D5"/>
    <mergeCell ref="B7:M7"/>
    <mergeCell ref="C9:D9"/>
    <mergeCell ref="H9:I9"/>
    <mergeCell ref="J9:M9"/>
    <mergeCell ref="C10:D10"/>
    <mergeCell ref="H10:I10"/>
    <mergeCell ref="J10:M10"/>
    <mergeCell ref="B14:M14"/>
    <mergeCell ref="B16:B17"/>
    <mergeCell ref="C16:C17"/>
    <mergeCell ref="D16:E16"/>
    <mergeCell ref="H16:I16"/>
    <mergeCell ref="J16:K16"/>
    <mergeCell ref="F16:G16"/>
    <mergeCell ref="C76:G78"/>
    <mergeCell ref="I77:M77"/>
    <mergeCell ref="C79:G79"/>
    <mergeCell ref="C81:G81"/>
    <mergeCell ref="C83:G83"/>
    <mergeCell ref="C85:G85"/>
    <mergeCell ref="C94:E94"/>
    <mergeCell ref="F94:I94"/>
    <mergeCell ref="C87:C88"/>
    <mergeCell ref="E87:I87"/>
    <mergeCell ref="E88:I88"/>
    <mergeCell ref="C90:F90"/>
    <mergeCell ref="G90:H90"/>
    <mergeCell ref="C92:E93"/>
    <mergeCell ref="F92:I93"/>
  </mergeCells>
  <dataValidations>
    <dataValidation type="decimal" allowBlank="1" showInputMessage="1" showErrorMessage="1" prompt="Ugyldigt tal - Tallet på kilometertælleren skal være mellem 0 and 999.999,9" sqref="J18:K26">
      <formula1>0.0</formula1>
      <formula2>999999.9</formula2>
    </dataValidation>
  </dataValidations>
  <hyperlinks>
    <hyperlink r:id="rId1" ref="A13"/>
  </hyperlinks>
  <printOptions/>
  <pageMargins bottom="0.75" footer="0.0" header="0.0" left="0.7" right="0.7" top="0.75"/>
  <pageSetup orientation="landscape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0.13"/>
    <col customWidth="1" min="3" max="3" width="62.25"/>
    <col customWidth="1" min="4" max="4" width="12.25"/>
    <col customWidth="1" min="5" max="5" width="12.38"/>
    <col customWidth="1" min="6" max="6" width="20.88"/>
    <col customWidth="1" min="7" max="7" width="11.25"/>
    <col customWidth="1" min="8" max="8" width="19.38"/>
    <col customWidth="1" min="9" max="9" width="11.63"/>
    <col customWidth="1" min="10" max="10" width="13.38"/>
    <col customWidth="1" min="11" max="11" width="14.13"/>
    <col customWidth="1" min="12" max="13" width="14.5"/>
    <col customWidth="1" min="14" max="14" width="19.5"/>
    <col customWidth="1" min="15" max="26" width="8.75"/>
  </cols>
  <sheetData>
    <row r="1" ht="12.75" customHeight="1">
      <c r="A1" s="5"/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9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8"/>
      <c r="B9" s="10" t="s">
        <v>4</v>
      </c>
      <c r="C9" s="88">
        <v>45536.0</v>
      </c>
      <c r="D9" s="12"/>
      <c r="E9" s="9"/>
      <c r="F9" s="9"/>
      <c r="G9" s="9"/>
      <c r="H9" s="13" t="s">
        <v>6</v>
      </c>
      <c r="I9" s="14"/>
      <c r="J9" s="11" t="s">
        <v>7</v>
      </c>
      <c r="K9" s="15"/>
      <c r="L9" s="15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8"/>
      <c r="B10" s="16" t="s">
        <v>8</v>
      </c>
      <c r="C10" s="101" t="s">
        <v>63</v>
      </c>
      <c r="D10" s="12"/>
      <c r="E10" s="9"/>
      <c r="F10" s="9"/>
      <c r="G10" s="9"/>
      <c r="H10" s="13" t="s">
        <v>10</v>
      </c>
      <c r="I10" s="14"/>
      <c r="J10" s="17" t="s">
        <v>11</v>
      </c>
      <c r="K10" s="18"/>
      <c r="L10" s="18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20" t="s">
        <v>12</v>
      </c>
      <c r="K11" s="21">
        <f>SUM(L18:L31)</f>
        <v>348</v>
      </c>
      <c r="L11" s="9"/>
      <c r="M11" s="9"/>
      <c r="N11" s="100" t="s">
        <v>85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8"/>
      <c r="B12" s="9"/>
      <c r="C12" s="9"/>
      <c r="D12" s="9"/>
      <c r="E12" s="9"/>
      <c r="F12" s="9"/>
      <c r="G12" s="9"/>
      <c r="H12" s="9"/>
      <c r="I12" s="9"/>
      <c r="J12" s="20" t="s">
        <v>13</v>
      </c>
      <c r="K12" s="89">
        <v>3.79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90" t="s">
        <v>53</v>
      </c>
      <c r="B13" s="8"/>
      <c r="C13" s="8"/>
      <c r="D13" s="8"/>
      <c r="E13" s="5"/>
      <c r="F13" s="5"/>
      <c r="G13" s="5"/>
      <c r="H13" s="5"/>
      <c r="I13" s="5"/>
      <c r="J13" s="20" t="s">
        <v>15</v>
      </c>
      <c r="K13" s="22">
        <f>SUM(K11*K12)</f>
        <v>1318.92</v>
      </c>
      <c r="L13" s="10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24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27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5.25" customHeight="1">
      <c r="A16" s="5"/>
      <c r="B16" s="29" t="s">
        <v>17</v>
      </c>
      <c r="C16" s="30" t="s">
        <v>18</v>
      </c>
      <c r="D16" s="31" t="s">
        <v>19</v>
      </c>
      <c r="E16" s="26"/>
      <c r="F16" s="31" t="s">
        <v>20</v>
      </c>
      <c r="G16" s="26"/>
      <c r="H16" s="31" t="s">
        <v>21</v>
      </c>
      <c r="I16" s="26"/>
      <c r="J16" s="31" t="s">
        <v>22</v>
      </c>
      <c r="K16" s="26"/>
      <c r="L16" s="104"/>
      <c r="M16" s="10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32"/>
      <c r="C17" s="32"/>
      <c r="D17" s="33" t="s">
        <v>24</v>
      </c>
      <c r="E17" s="33" t="s">
        <v>25</v>
      </c>
      <c r="F17" s="33" t="s">
        <v>26</v>
      </c>
      <c r="G17" s="33" t="s">
        <v>27</v>
      </c>
      <c r="H17" s="33" t="s">
        <v>26</v>
      </c>
      <c r="I17" s="33" t="s">
        <v>27</v>
      </c>
      <c r="J17" s="33" t="s">
        <v>28</v>
      </c>
      <c r="K17" s="33" t="s">
        <v>29</v>
      </c>
      <c r="L17" s="105" t="s">
        <v>24</v>
      </c>
      <c r="M17" s="33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5"/>
      <c r="B18" s="102">
        <v>45539.0</v>
      </c>
      <c r="C18" s="93" t="s">
        <v>92</v>
      </c>
      <c r="D18" s="94">
        <v>1.0</v>
      </c>
      <c r="E18" s="47"/>
      <c r="F18" s="1" t="s">
        <v>31</v>
      </c>
      <c r="G18" s="44">
        <v>2791.0</v>
      </c>
      <c r="H18" s="95" t="s">
        <v>93</v>
      </c>
      <c r="I18" s="108">
        <v>2300.0</v>
      </c>
      <c r="J18" s="96">
        <v>14.0</v>
      </c>
      <c r="K18" s="97">
        <v>14.0</v>
      </c>
      <c r="L18" s="106">
        <f t="shared" ref="L18:L29" si="1">SUM(J18:K18)</f>
        <v>28</v>
      </c>
      <c r="M18" s="4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5"/>
      <c r="B19" s="102">
        <v>45540.0</v>
      </c>
      <c r="C19" s="93" t="s">
        <v>98</v>
      </c>
      <c r="D19" s="94"/>
      <c r="E19" s="47"/>
      <c r="F19" s="1" t="s">
        <v>31</v>
      </c>
      <c r="G19" s="44">
        <v>2791.0</v>
      </c>
      <c r="H19" s="112" t="s">
        <v>75</v>
      </c>
      <c r="I19" s="117">
        <v>1801.0</v>
      </c>
      <c r="J19" s="118">
        <v>16.0</v>
      </c>
      <c r="K19" s="118">
        <v>16.0</v>
      </c>
      <c r="L19" s="106">
        <f t="shared" si="1"/>
        <v>32</v>
      </c>
      <c r="M19" s="4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102">
        <v>45541.0</v>
      </c>
      <c r="C20" s="93" t="s">
        <v>92</v>
      </c>
      <c r="D20" s="94">
        <v>1.0</v>
      </c>
      <c r="E20" s="47"/>
      <c r="F20" s="1" t="s">
        <v>31</v>
      </c>
      <c r="G20" s="44">
        <v>2791.0</v>
      </c>
      <c r="H20" s="95" t="s">
        <v>93</v>
      </c>
      <c r="I20" s="108">
        <v>2300.0</v>
      </c>
      <c r="J20" s="96">
        <v>14.0</v>
      </c>
      <c r="K20" s="97">
        <v>14.0</v>
      </c>
      <c r="L20" s="106">
        <f t="shared" si="1"/>
        <v>28</v>
      </c>
      <c r="M20" s="4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102">
        <v>45544.0</v>
      </c>
      <c r="C21" s="93" t="s">
        <v>92</v>
      </c>
      <c r="D21" s="94">
        <v>1.0</v>
      </c>
      <c r="E21" s="47"/>
      <c r="F21" s="1" t="s">
        <v>31</v>
      </c>
      <c r="G21" s="44">
        <v>2791.0</v>
      </c>
      <c r="H21" s="95" t="s">
        <v>93</v>
      </c>
      <c r="I21" s="108">
        <v>2300.0</v>
      </c>
      <c r="J21" s="96">
        <v>14.0</v>
      </c>
      <c r="K21" s="97">
        <v>14.0</v>
      </c>
      <c r="L21" s="106">
        <f t="shared" si="1"/>
        <v>28</v>
      </c>
      <c r="M21" s="4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102">
        <v>45551.0</v>
      </c>
      <c r="C22" s="93" t="s">
        <v>92</v>
      </c>
      <c r="D22" s="94">
        <v>1.0</v>
      </c>
      <c r="E22" s="47"/>
      <c r="F22" s="1" t="s">
        <v>31</v>
      </c>
      <c r="G22" s="44">
        <v>2791.0</v>
      </c>
      <c r="H22" s="95" t="s">
        <v>93</v>
      </c>
      <c r="I22" s="108">
        <v>2300.0</v>
      </c>
      <c r="J22" s="96">
        <v>14.0</v>
      </c>
      <c r="K22" s="97">
        <v>14.0</v>
      </c>
      <c r="L22" s="106">
        <f t="shared" si="1"/>
        <v>28</v>
      </c>
      <c r="M22" s="4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102">
        <v>45553.0</v>
      </c>
      <c r="C23" s="93" t="s">
        <v>92</v>
      </c>
      <c r="D23" s="94">
        <v>1.0</v>
      </c>
      <c r="E23" s="47"/>
      <c r="F23" s="1" t="s">
        <v>31</v>
      </c>
      <c r="G23" s="44">
        <v>2791.0</v>
      </c>
      <c r="H23" s="95" t="s">
        <v>93</v>
      </c>
      <c r="I23" s="108">
        <v>2300.0</v>
      </c>
      <c r="J23" s="96">
        <v>14.0</v>
      </c>
      <c r="K23" s="97">
        <v>14.0</v>
      </c>
      <c r="L23" s="106">
        <f t="shared" si="1"/>
        <v>28</v>
      </c>
      <c r="M23" s="4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102">
        <v>45555.0</v>
      </c>
      <c r="C24" s="93" t="s">
        <v>92</v>
      </c>
      <c r="D24" s="94">
        <v>1.0</v>
      </c>
      <c r="E24" s="47"/>
      <c r="F24" s="1" t="s">
        <v>31</v>
      </c>
      <c r="G24" s="44">
        <v>2791.0</v>
      </c>
      <c r="H24" s="95" t="s">
        <v>93</v>
      </c>
      <c r="I24" s="108">
        <v>2300.0</v>
      </c>
      <c r="J24" s="96">
        <v>14.0</v>
      </c>
      <c r="K24" s="97">
        <v>14.0</v>
      </c>
      <c r="L24" s="106">
        <f t="shared" si="1"/>
        <v>28</v>
      </c>
      <c r="M24" s="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102">
        <v>45558.0</v>
      </c>
      <c r="C25" s="93" t="s">
        <v>92</v>
      </c>
      <c r="D25" s="94">
        <v>1.0</v>
      </c>
      <c r="E25" s="47"/>
      <c r="F25" s="1" t="s">
        <v>31</v>
      </c>
      <c r="G25" s="44">
        <v>2791.0</v>
      </c>
      <c r="H25" s="95" t="s">
        <v>93</v>
      </c>
      <c r="I25" s="108">
        <v>2300.0</v>
      </c>
      <c r="J25" s="96">
        <v>14.0</v>
      </c>
      <c r="K25" s="97">
        <v>14.0</v>
      </c>
      <c r="L25" s="106">
        <f t="shared" si="1"/>
        <v>28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102">
        <v>45559.0</v>
      </c>
      <c r="C26" s="93" t="s">
        <v>98</v>
      </c>
      <c r="D26" s="94">
        <v>1.0</v>
      </c>
      <c r="E26" s="47"/>
      <c r="F26" s="1" t="s">
        <v>31</v>
      </c>
      <c r="G26" s="44">
        <v>2791.0</v>
      </c>
      <c r="H26" s="112" t="s">
        <v>75</v>
      </c>
      <c r="I26" s="117">
        <v>1801.0</v>
      </c>
      <c r="J26" s="118">
        <v>16.0</v>
      </c>
      <c r="K26" s="118">
        <v>16.0</v>
      </c>
      <c r="L26" s="106">
        <f t="shared" si="1"/>
        <v>32</v>
      </c>
      <c r="M26" s="4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102">
        <v>45560.0</v>
      </c>
      <c r="C27" s="93" t="s">
        <v>92</v>
      </c>
      <c r="D27" s="94">
        <v>1.0</v>
      </c>
      <c r="E27" s="47"/>
      <c r="F27" s="1" t="s">
        <v>31</v>
      </c>
      <c r="G27" s="44">
        <v>2791.0</v>
      </c>
      <c r="H27" s="95" t="s">
        <v>93</v>
      </c>
      <c r="I27" s="108">
        <v>2300.0</v>
      </c>
      <c r="J27" s="96">
        <v>14.0</v>
      </c>
      <c r="K27" s="97">
        <v>14.0</v>
      </c>
      <c r="L27" s="106">
        <f t="shared" si="1"/>
        <v>28</v>
      </c>
      <c r="M27" s="4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102">
        <v>45561.0</v>
      </c>
      <c r="C28" s="93" t="s">
        <v>98</v>
      </c>
      <c r="D28" s="94">
        <v>1.0</v>
      </c>
      <c r="E28" s="47"/>
      <c r="F28" s="1" t="s">
        <v>31</v>
      </c>
      <c r="G28" s="44">
        <v>2791.0</v>
      </c>
      <c r="H28" s="112" t="s">
        <v>75</v>
      </c>
      <c r="I28" s="117">
        <v>1801.0</v>
      </c>
      <c r="J28" s="118">
        <v>16.0</v>
      </c>
      <c r="K28" s="118">
        <v>16.0</v>
      </c>
      <c r="L28" s="106">
        <f t="shared" si="1"/>
        <v>32</v>
      </c>
      <c r="M28" s="4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102">
        <v>45562.0</v>
      </c>
      <c r="C29" s="93" t="s">
        <v>92</v>
      </c>
      <c r="D29" s="94">
        <v>1.0</v>
      </c>
      <c r="E29" s="47"/>
      <c r="F29" s="1" t="s">
        <v>31</v>
      </c>
      <c r="G29" s="44">
        <v>2791.0</v>
      </c>
      <c r="H29" s="95" t="s">
        <v>93</v>
      </c>
      <c r="I29" s="108">
        <v>2300.0</v>
      </c>
      <c r="J29" s="96">
        <v>14.0</v>
      </c>
      <c r="K29" s="97">
        <v>14.0</v>
      </c>
      <c r="L29" s="106">
        <f t="shared" si="1"/>
        <v>28</v>
      </c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34"/>
      <c r="C30" s="35"/>
      <c r="D30" s="47"/>
      <c r="E30" s="47"/>
      <c r="F30" s="39"/>
      <c r="G30" s="44"/>
      <c r="H30" s="47"/>
      <c r="I30" s="44"/>
      <c r="J30" s="43"/>
      <c r="K30" s="43"/>
      <c r="L30" s="43"/>
      <c r="M30" s="4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34"/>
      <c r="C31" s="35"/>
      <c r="D31" s="47"/>
      <c r="E31" s="47"/>
      <c r="F31" s="39"/>
      <c r="G31" s="44"/>
      <c r="H31" s="47"/>
      <c r="I31" s="44"/>
      <c r="J31" s="43"/>
      <c r="K31" s="43"/>
      <c r="L31" s="43"/>
      <c r="M31" s="4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34"/>
      <c r="C32" s="35"/>
      <c r="D32" s="47"/>
      <c r="E32" s="47"/>
      <c r="F32" s="39"/>
      <c r="G32" s="44"/>
      <c r="H32" s="47"/>
      <c r="I32" s="44"/>
      <c r="J32" s="43"/>
      <c r="K32" s="43"/>
      <c r="L32" s="43"/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34"/>
      <c r="C33" s="35"/>
      <c r="D33" s="47"/>
      <c r="E33" s="47"/>
      <c r="F33" s="39"/>
      <c r="G33" s="44"/>
      <c r="H33" s="47"/>
      <c r="I33" s="44"/>
      <c r="J33" s="43"/>
      <c r="K33" s="43"/>
      <c r="L33" s="43"/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34"/>
      <c r="C34" s="35"/>
      <c r="D34" s="47"/>
      <c r="E34" s="47"/>
      <c r="F34" s="39"/>
      <c r="G34" s="44"/>
      <c r="H34" s="47"/>
      <c r="I34" s="44"/>
      <c r="J34" s="43"/>
      <c r="K34" s="43"/>
      <c r="L34" s="43"/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34"/>
      <c r="C35" s="35"/>
      <c r="D35" s="47"/>
      <c r="E35" s="47"/>
      <c r="F35" s="39"/>
      <c r="G35" s="44"/>
      <c r="H35" s="47"/>
      <c r="I35" s="44"/>
      <c r="J35" s="43"/>
      <c r="K35" s="43"/>
      <c r="L35" s="43"/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34"/>
      <c r="C36" s="35"/>
      <c r="D36" s="47"/>
      <c r="E36" s="47"/>
      <c r="F36" s="39"/>
      <c r="G36" s="44"/>
      <c r="H36" s="47"/>
      <c r="I36" s="44"/>
      <c r="J36" s="43"/>
      <c r="K36" s="43"/>
      <c r="L36" s="43"/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34"/>
      <c r="C37" s="35"/>
      <c r="D37" s="47"/>
      <c r="E37" s="47"/>
      <c r="F37" s="39"/>
      <c r="G37" s="44"/>
      <c r="H37" s="47"/>
      <c r="I37" s="44"/>
      <c r="J37" s="43"/>
      <c r="K37" s="43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34"/>
      <c r="C38" s="35"/>
      <c r="D38" s="47"/>
      <c r="E38" s="47"/>
      <c r="F38" s="39"/>
      <c r="G38" s="44"/>
      <c r="H38" s="47"/>
      <c r="I38" s="44"/>
      <c r="J38" s="43"/>
      <c r="K38" s="43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34"/>
      <c r="C39" s="35"/>
      <c r="D39" s="47"/>
      <c r="E39" s="47"/>
      <c r="F39" s="39"/>
      <c r="G39" s="44"/>
      <c r="H39" s="47"/>
      <c r="I39" s="44"/>
      <c r="J39" s="43"/>
      <c r="K39" s="43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34"/>
      <c r="C40" s="35"/>
      <c r="D40" s="47"/>
      <c r="E40" s="47"/>
      <c r="F40" s="39"/>
      <c r="G40" s="44"/>
      <c r="H40" s="47"/>
      <c r="I40" s="44"/>
      <c r="J40" s="43"/>
      <c r="K40" s="43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34"/>
      <c r="C41" s="35"/>
      <c r="D41" s="47"/>
      <c r="E41" s="47"/>
      <c r="F41" s="39"/>
      <c r="G41" s="44"/>
      <c r="H41" s="47"/>
      <c r="I41" s="44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34"/>
      <c r="C42" s="35"/>
      <c r="D42" s="47"/>
      <c r="E42" s="47"/>
      <c r="F42" s="39"/>
      <c r="G42" s="44"/>
      <c r="H42" s="47"/>
      <c r="I42" s="44"/>
      <c r="J42" s="43"/>
      <c r="K42" s="43"/>
      <c r="L42" s="43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34"/>
      <c r="C43" s="35"/>
      <c r="D43" s="47"/>
      <c r="E43" s="47"/>
      <c r="F43" s="39"/>
      <c r="G43" s="44"/>
      <c r="H43" s="47"/>
      <c r="I43" s="44"/>
      <c r="J43" s="43"/>
      <c r="K43" s="43"/>
      <c r="L43" s="43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34"/>
      <c r="C44" s="35"/>
      <c r="D44" s="47"/>
      <c r="E44" s="47"/>
      <c r="F44" s="39"/>
      <c r="G44" s="44"/>
      <c r="H44" s="47"/>
      <c r="I44" s="44"/>
      <c r="J44" s="43"/>
      <c r="K44" s="43"/>
      <c r="L44" s="43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34"/>
      <c r="C45" s="53"/>
      <c r="D45" s="54"/>
      <c r="E45" s="54"/>
      <c r="F45" s="39"/>
      <c r="G45" s="44"/>
      <c r="H45" s="54"/>
      <c r="I45" s="44"/>
      <c r="J45" s="55"/>
      <c r="K45" s="55"/>
      <c r="L45" s="107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34"/>
      <c r="C46" s="35"/>
      <c r="D46" s="47"/>
      <c r="E46" s="47"/>
      <c r="F46" s="39"/>
      <c r="G46" s="44"/>
      <c r="H46" s="47"/>
      <c r="I46" s="44"/>
      <c r="J46" s="43"/>
      <c r="K46" s="43"/>
      <c r="L46" s="43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34"/>
      <c r="C47" s="35"/>
      <c r="D47" s="47"/>
      <c r="E47" s="47"/>
      <c r="F47" s="39"/>
      <c r="G47" s="44"/>
      <c r="H47" s="47"/>
      <c r="I47" s="44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34"/>
      <c r="C48" s="35"/>
      <c r="D48" s="47"/>
      <c r="E48" s="47"/>
      <c r="F48" s="39"/>
      <c r="G48" s="44"/>
      <c r="H48" s="47"/>
      <c r="I48" s="44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34"/>
      <c r="C49" s="35"/>
      <c r="D49" s="47"/>
      <c r="E49" s="47"/>
      <c r="F49" s="39"/>
      <c r="G49" s="44"/>
      <c r="H49" s="47"/>
      <c r="I49" s="44"/>
      <c r="J49" s="43"/>
      <c r="K49" s="43"/>
      <c r="L49" s="43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34"/>
      <c r="C50" s="35"/>
      <c r="D50" s="47"/>
      <c r="E50" s="47"/>
      <c r="F50" s="39"/>
      <c r="G50" s="44"/>
      <c r="H50" s="47"/>
      <c r="I50" s="44"/>
      <c r="J50" s="43"/>
      <c r="K50" s="43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34"/>
      <c r="C51" s="35"/>
      <c r="D51" s="47"/>
      <c r="E51" s="47"/>
      <c r="F51" s="39"/>
      <c r="G51" s="44"/>
      <c r="H51" s="47"/>
      <c r="I51" s="44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34"/>
      <c r="C52" s="35"/>
      <c r="D52" s="47"/>
      <c r="E52" s="47"/>
      <c r="F52" s="39"/>
      <c r="G52" s="44"/>
      <c r="H52" s="47"/>
      <c r="I52" s="44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34"/>
      <c r="C53" s="35"/>
      <c r="D53" s="47"/>
      <c r="E53" s="47"/>
      <c r="F53" s="39"/>
      <c r="G53" s="44"/>
      <c r="H53" s="47"/>
      <c r="I53" s="44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34"/>
      <c r="C54" s="35"/>
      <c r="D54" s="47"/>
      <c r="E54" s="47"/>
      <c r="F54" s="39"/>
      <c r="G54" s="44"/>
      <c r="H54" s="47"/>
      <c r="I54" s="44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34"/>
      <c r="C55" s="35"/>
      <c r="D55" s="47"/>
      <c r="E55" s="47"/>
      <c r="F55" s="39"/>
      <c r="G55" s="44"/>
      <c r="H55" s="47"/>
      <c r="I55" s="44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34"/>
      <c r="C56" s="35"/>
      <c r="D56" s="47"/>
      <c r="E56" s="47"/>
      <c r="F56" s="39"/>
      <c r="G56" s="44"/>
      <c r="H56" s="47"/>
      <c r="I56" s="44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34"/>
      <c r="C57" s="35"/>
      <c r="D57" s="47"/>
      <c r="E57" s="47"/>
      <c r="F57" s="39"/>
      <c r="G57" s="44"/>
      <c r="H57" s="47"/>
      <c r="I57" s="44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34"/>
      <c r="C58" s="35"/>
      <c r="D58" s="47"/>
      <c r="E58" s="47"/>
      <c r="F58" s="39"/>
      <c r="G58" s="44"/>
      <c r="H58" s="47"/>
      <c r="I58" s="44"/>
      <c r="J58" s="43"/>
      <c r="K58" s="43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34"/>
      <c r="C59" s="35"/>
      <c r="D59" s="47"/>
      <c r="E59" s="47"/>
      <c r="F59" s="39"/>
      <c r="G59" s="44"/>
      <c r="H59" s="47"/>
      <c r="I59" s="44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34"/>
      <c r="C60" s="35"/>
      <c r="D60" s="47"/>
      <c r="E60" s="47"/>
      <c r="F60" s="39"/>
      <c r="G60" s="44"/>
      <c r="H60" s="47"/>
      <c r="I60" s="44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34"/>
      <c r="C61" s="35"/>
      <c r="D61" s="47"/>
      <c r="E61" s="47"/>
      <c r="F61" s="39"/>
      <c r="G61" s="44"/>
      <c r="H61" s="47"/>
      <c r="I61" s="44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34"/>
      <c r="C62" s="35"/>
      <c r="D62" s="47"/>
      <c r="E62" s="47"/>
      <c r="F62" s="39"/>
      <c r="G62" s="44"/>
      <c r="H62" s="47"/>
      <c r="I62" s="44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34"/>
      <c r="C63" s="35"/>
      <c r="D63" s="47"/>
      <c r="E63" s="47"/>
      <c r="F63" s="39"/>
      <c r="G63" s="44"/>
      <c r="H63" s="47"/>
      <c r="I63" s="44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34"/>
      <c r="C64" s="35"/>
      <c r="D64" s="47"/>
      <c r="E64" s="47"/>
      <c r="F64" s="39"/>
      <c r="G64" s="44"/>
      <c r="H64" s="47"/>
      <c r="I64" s="44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34"/>
      <c r="C65" s="35"/>
      <c r="D65" s="47"/>
      <c r="E65" s="47"/>
      <c r="F65" s="39"/>
      <c r="G65" s="44"/>
      <c r="H65" s="47"/>
      <c r="I65" s="44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34"/>
      <c r="C66" s="35"/>
      <c r="D66" s="47"/>
      <c r="E66" s="47"/>
      <c r="F66" s="39"/>
      <c r="G66" s="44"/>
      <c r="H66" s="47"/>
      <c r="I66" s="44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34"/>
      <c r="C67" s="35"/>
      <c r="D67" s="47"/>
      <c r="E67" s="47"/>
      <c r="F67" s="39"/>
      <c r="G67" s="44"/>
      <c r="H67" s="47"/>
      <c r="I67" s="44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34"/>
      <c r="C68" s="35"/>
      <c r="D68" s="47"/>
      <c r="E68" s="47"/>
      <c r="F68" s="39"/>
      <c r="G68" s="44"/>
      <c r="H68" s="47"/>
      <c r="I68" s="44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34"/>
      <c r="C69" s="35"/>
      <c r="D69" s="47"/>
      <c r="E69" s="47"/>
      <c r="F69" s="39"/>
      <c r="G69" s="44"/>
      <c r="H69" s="47"/>
      <c r="I69" s="44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34"/>
      <c r="C70" s="35"/>
      <c r="D70" s="47"/>
      <c r="E70" s="47"/>
      <c r="F70" s="39"/>
      <c r="G70" s="44"/>
      <c r="H70" s="47"/>
      <c r="I70" s="44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34"/>
      <c r="C71" s="35"/>
      <c r="D71" s="47"/>
      <c r="E71" s="47"/>
      <c r="F71" s="39"/>
      <c r="G71" s="44"/>
      <c r="H71" s="47"/>
      <c r="I71" s="44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34"/>
      <c r="C72" s="35"/>
      <c r="D72" s="47"/>
      <c r="E72" s="47"/>
      <c r="F72" s="39"/>
      <c r="G72" s="44"/>
      <c r="H72" s="47"/>
      <c r="I72" s="44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34"/>
      <c r="C73" s="35"/>
      <c r="D73" s="47"/>
      <c r="E73" s="47"/>
      <c r="F73" s="39"/>
      <c r="G73" s="44"/>
      <c r="H73" s="47"/>
      <c r="I73" s="44"/>
      <c r="J73" s="43"/>
      <c r="K73" s="43"/>
      <c r="L73" s="43"/>
      <c r="M73" s="4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34"/>
      <c r="C74" s="35"/>
      <c r="D74" s="47"/>
      <c r="E74" s="47"/>
      <c r="F74" s="39"/>
      <c r="G74" s="44"/>
      <c r="H74" s="47"/>
      <c r="I74" s="44"/>
      <c r="J74" s="43"/>
      <c r="K74" s="43"/>
      <c r="L74" s="43"/>
      <c r="M74" s="4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34"/>
      <c r="C75" s="35"/>
      <c r="D75" s="47"/>
      <c r="E75" s="47"/>
      <c r="F75" s="39"/>
      <c r="G75" s="44"/>
      <c r="H75" s="47"/>
      <c r="I75" s="44"/>
      <c r="J75" s="43"/>
      <c r="K75" s="43"/>
      <c r="L75" s="43"/>
      <c r="M75" s="43">
        <f t="shared" ref="M75:M76" si="2">(K75-J75)*E75</f>
        <v>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34"/>
      <c r="C76" s="35"/>
      <c r="D76" s="47"/>
      <c r="E76" s="47"/>
      <c r="F76" s="39"/>
      <c r="G76" s="44"/>
      <c r="H76" s="47"/>
      <c r="I76" s="44"/>
      <c r="J76" s="43"/>
      <c r="K76" s="43"/>
      <c r="L76" s="43"/>
      <c r="M76" s="43">
        <f t="shared" si="2"/>
        <v>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6" t="s">
        <v>38</v>
      </c>
      <c r="D78" s="57"/>
      <c r="E78" s="57"/>
      <c r="F78" s="57"/>
      <c r="G78" s="5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9"/>
      <c r="G79" s="60"/>
      <c r="H79" s="43">
        <v>0.0</v>
      </c>
      <c r="I79" s="61" t="s">
        <v>39</v>
      </c>
      <c r="J79" s="62"/>
      <c r="K79" s="62"/>
      <c r="L79" s="62"/>
      <c r="M79" s="6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64"/>
      <c r="D80" s="65"/>
      <c r="E80" s="65"/>
      <c r="F80" s="65"/>
      <c r="G80" s="6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5"/>
      <c r="C81" s="67" t="s">
        <v>40</v>
      </c>
      <c r="D81" s="62"/>
      <c r="E81" s="62"/>
      <c r="F81" s="62"/>
      <c r="G81" s="14"/>
      <c r="H81" s="68" t="str">
        <f>SUM(#REF!)</f>
        <v>#REF!</v>
      </c>
      <c r="I81" s="69" t="s">
        <v>41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5"/>
      <c r="B83" s="5"/>
      <c r="C83" s="67" t="s">
        <v>42</v>
      </c>
      <c r="D83" s="62"/>
      <c r="E83" s="62"/>
      <c r="F83" s="62"/>
      <c r="G83" s="63"/>
      <c r="H83" s="68" t="str">
        <f>H79+H81</f>
        <v>#REF!</v>
      </c>
      <c r="I83" s="69" t="s">
        <v>41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75" customHeight="1">
      <c r="A85" s="5"/>
      <c r="B85" s="5"/>
      <c r="C85" s="67" t="s">
        <v>43</v>
      </c>
      <c r="D85" s="62"/>
      <c r="E85" s="62"/>
      <c r="F85" s="62"/>
      <c r="G85" s="63"/>
      <c r="H85" s="68" t="str">
        <f>IF(H83&lt;=20000,H81,IF(H79&gt;20000,0,20000-H79))</f>
        <v>#REF!</v>
      </c>
      <c r="I85" s="69" t="s">
        <v>41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5"/>
      <c r="C87" s="67" t="s">
        <v>44</v>
      </c>
      <c r="D87" s="62"/>
      <c r="E87" s="62"/>
      <c r="F87" s="62"/>
      <c r="G87" s="14"/>
      <c r="H87" s="68" t="str">
        <f>IF(H83&gt;20000,H83-H79-H85,0)</f>
        <v>#REF!</v>
      </c>
      <c r="I87" s="69" t="s">
        <v>41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7.25" customHeight="1">
      <c r="A89" s="5"/>
      <c r="B89" s="5"/>
      <c r="C89" s="70" t="s">
        <v>45</v>
      </c>
      <c r="D89" s="71">
        <v>3.79</v>
      </c>
      <c r="E89" s="72" t="s">
        <v>46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32"/>
      <c r="D90" s="71">
        <v>2.23</v>
      </c>
      <c r="E90" s="72" t="s">
        <v>47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30.0" customHeight="1">
      <c r="A92" s="5"/>
      <c r="B92" s="5"/>
      <c r="C92" s="73" t="s">
        <v>48</v>
      </c>
      <c r="D92" s="62"/>
      <c r="E92" s="62"/>
      <c r="F92" s="14"/>
      <c r="G92" s="74" t="str">
        <f>(H85*D89)+(H87*D90)</f>
        <v>#REF!</v>
      </c>
      <c r="H92" s="12"/>
      <c r="I92" s="69" t="s">
        <v>41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75" t="s">
        <v>49</v>
      </c>
      <c r="D94" s="76"/>
      <c r="E94" s="77"/>
      <c r="F94" s="78"/>
      <c r="G94" s="76"/>
      <c r="H94" s="76"/>
      <c r="I94" s="7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79"/>
      <c r="D95" s="65"/>
      <c r="E95" s="80"/>
      <c r="F95" s="79"/>
      <c r="G95" s="65"/>
      <c r="H95" s="65"/>
      <c r="I95" s="80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3.25" customHeight="1">
      <c r="A96" s="5"/>
      <c r="B96" s="5"/>
      <c r="C96" s="81" t="s">
        <v>50</v>
      </c>
      <c r="D96" s="15"/>
      <c r="E96" s="12"/>
      <c r="F96" s="82"/>
      <c r="G96" s="15"/>
      <c r="H96" s="15"/>
      <c r="I96" s="12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0">
    <mergeCell ref="A5:D5"/>
    <mergeCell ref="B7:M7"/>
    <mergeCell ref="C9:D9"/>
    <mergeCell ref="H9:I9"/>
    <mergeCell ref="J9:M9"/>
    <mergeCell ref="C10:D10"/>
    <mergeCell ref="H10:I10"/>
    <mergeCell ref="J10:M10"/>
    <mergeCell ref="B14:M14"/>
    <mergeCell ref="B16:B17"/>
    <mergeCell ref="C16:C17"/>
    <mergeCell ref="D16:E16"/>
    <mergeCell ref="H16:I16"/>
    <mergeCell ref="J16:K16"/>
    <mergeCell ref="F16:G16"/>
    <mergeCell ref="C78:G80"/>
    <mergeCell ref="I79:M79"/>
    <mergeCell ref="C81:G81"/>
    <mergeCell ref="C83:G83"/>
    <mergeCell ref="C85:G85"/>
    <mergeCell ref="C87:G87"/>
    <mergeCell ref="C96:E96"/>
    <mergeCell ref="F96:I96"/>
    <mergeCell ref="C89:C90"/>
    <mergeCell ref="E89:I89"/>
    <mergeCell ref="E90:I90"/>
    <mergeCell ref="C92:F92"/>
    <mergeCell ref="G92:H92"/>
    <mergeCell ref="C94:E95"/>
    <mergeCell ref="F94:I95"/>
  </mergeCells>
  <dataValidations>
    <dataValidation type="decimal" allowBlank="1" showInputMessage="1" showErrorMessage="1" prompt="Ugyldigt tal - Tallet på kilometertælleren skal være mellem 0 and 999.999,9" sqref="J18:K29">
      <formula1>0.0</formula1>
      <formula2>999999.9</formula2>
    </dataValidation>
  </dataValidations>
  <hyperlinks>
    <hyperlink r:id="rId1" ref="A13"/>
  </hyperlinks>
  <printOptions/>
  <pageMargins bottom="0.75" footer="0.0" header="0.0" left="0.7" right="0.7" top="0.75"/>
  <pageSetup orientation="landscape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0.13"/>
    <col customWidth="1" min="3" max="3" width="62.25"/>
    <col customWidth="1" min="4" max="4" width="12.25"/>
    <col customWidth="1" min="5" max="5" width="12.38"/>
    <col customWidth="1" min="6" max="6" width="20.88"/>
    <col customWidth="1" min="7" max="7" width="11.25"/>
    <col customWidth="1" min="8" max="8" width="19.38"/>
    <col customWidth="1" min="9" max="9" width="11.63"/>
    <col customWidth="1" min="10" max="10" width="13.38"/>
    <col customWidth="1" min="11" max="11" width="14.13"/>
    <col customWidth="1" min="12" max="13" width="14.5"/>
    <col customWidth="1" min="14" max="14" width="19.5"/>
    <col customWidth="1" min="15" max="26" width="8.75"/>
  </cols>
  <sheetData>
    <row r="1" ht="12.75" customHeight="1">
      <c r="A1" s="5"/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9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8"/>
      <c r="B9" s="10" t="s">
        <v>4</v>
      </c>
      <c r="C9" s="88">
        <v>45566.0</v>
      </c>
      <c r="D9" s="12"/>
      <c r="E9" s="9"/>
      <c r="F9" s="9"/>
      <c r="G9" s="9"/>
      <c r="H9" s="13" t="s">
        <v>6</v>
      </c>
      <c r="I9" s="14"/>
      <c r="J9" s="11" t="s">
        <v>7</v>
      </c>
      <c r="K9" s="15"/>
      <c r="L9" s="15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8"/>
      <c r="B10" s="16" t="s">
        <v>8</v>
      </c>
      <c r="C10" s="101" t="s">
        <v>63</v>
      </c>
      <c r="D10" s="12"/>
      <c r="E10" s="9"/>
      <c r="F10" s="9"/>
      <c r="G10" s="9"/>
      <c r="H10" s="13" t="s">
        <v>10</v>
      </c>
      <c r="I10" s="14"/>
      <c r="J10" s="17" t="s">
        <v>11</v>
      </c>
      <c r="K10" s="18"/>
      <c r="L10" s="18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20" t="s">
        <v>12</v>
      </c>
      <c r="K11" s="21">
        <f>SUM(L18:L28)</f>
        <v>672</v>
      </c>
      <c r="L11" s="9"/>
      <c r="M11" s="9"/>
      <c r="N11" s="100" t="s">
        <v>85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8"/>
      <c r="B12" s="9"/>
      <c r="C12" s="9"/>
      <c r="D12" s="9"/>
      <c r="E12" s="9"/>
      <c r="F12" s="9"/>
      <c r="G12" s="9"/>
      <c r="H12" s="9"/>
      <c r="I12" s="9"/>
      <c r="J12" s="20" t="s">
        <v>13</v>
      </c>
      <c r="K12" s="89">
        <v>3.79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90" t="s">
        <v>53</v>
      </c>
      <c r="B13" s="8"/>
      <c r="C13" s="8"/>
      <c r="D13" s="8"/>
      <c r="E13" s="5"/>
      <c r="F13" s="5"/>
      <c r="G13" s="5"/>
      <c r="H13" s="5"/>
      <c r="I13" s="5"/>
      <c r="J13" s="20" t="s">
        <v>15</v>
      </c>
      <c r="K13" s="22">
        <f>SUM(K11*K12)</f>
        <v>2546.88</v>
      </c>
      <c r="L13" s="10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24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27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5.25" customHeight="1">
      <c r="A16" s="5"/>
      <c r="B16" s="29" t="s">
        <v>17</v>
      </c>
      <c r="C16" s="30" t="s">
        <v>18</v>
      </c>
      <c r="D16" s="31" t="s">
        <v>19</v>
      </c>
      <c r="E16" s="26"/>
      <c r="F16" s="31" t="s">
        <v>20</v>
      </c>
      <c r="G16" s="26"/>
      <c r="H16" s="31" t="s">
        <v>21</v>
      </c>
      <c r="I16" s="26"/>
      <c r="J16" s="31" t="s">
        <v>22</v>
      </c>
      <c r="K16" s="26"/>
      <c r="L16" s="104"/>
      <c r="M16" s="10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32"/>
      <c r="C17" s="32"/>
      <c r="D17" s="33" t="s">
        <v>24</v>
      </c>
      <c r="E17" s="33" t="s">
        <v>25</v>
      </c>
      <c r="F17" s="33" t="s">
        <v>26</v>
      </c>
      <c r="G17" s="33" t="s">
        <v>27</v>
      </c>
      <c r="H17" s="33" t="s">
        <v>26</v>
      </c>
      <c r="I17" s="33" t="s">
        <v>27</v>
      </c>
      <c r="J17" s="33" t="s">
        <v>28</v>
      </c>
      <c r="K17" s="33" t="s">
        <v>29</v>
      </c>
      <c r="L17" s="105" t="s">
        <v>24</v>
      </c>
      <c r="M17" s="33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5"/>
      <c r="B18" s="102">
        <v>45568.0</v>
      </c>
      <c r="C18" s="93" t="s">
        <v>92</v>
      </c>
      <c r="D18" s="94">
        <v>1.0</v>
      </c>
      <c r="E18" s="47"/>
      <c r="F18" s="1" t="s">
        <v>31</v>
      </c>
      <c r="G18" s="44">
        <v>2791.0</v>
      </c>
      <c r="H18" s="95" t="s">
        <v>99</v>
      </c>
      <c r="I18" s="108">
        <v>2730.0</v>
      </c>
      <c r="J18" s="96">
        <v>40.0</v>
      </c>
      <c r="K18" s="97">
        <v>40.0</v>
      </c>
      <c r="L18" s="106">
        <f t="shared" ref="L18:L26" si="1">SUM(J18:K18)</f>
        <v>80</v>
      </c>
      <c r="M18" s="4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5"/>
      <c r="B19" s="102">
        <v>45572.0</v>
      </c>
      <c r="C19" s="93" t="s">
        <v>92</v>
      </c>
      <c r="D19" s="94">
        <v>1.0</v>
      </c>
      <c r="E19" s="47"/>
      <c r="F19" s="1" t="s">
        <v>31</v>
      </c>
      <c r="G19" s="44">
        <v>2791.0</v>
      </c>
      <c r="H19" s="95" t="s">
        <v>99</v>
      </c>
      <c r="I19" s="108">
        <v>2730.0</v>
      </c>
      <c r="J19" s="96">
        <v>40.0</v>
      </c>
      <c r="K19" s="97">
        <v>40.0</v>
      </c>
      <c r="L19" s="106">
        <f t="shared" si="1"/>
        <v>80</v>
      </c>
      <c r="M19" s="4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102">
        <v>45573.0</v>
      </c>
      <c r="C20" s="93" t="s">
        <v>98</v>
      </c>
      <c r="D20" s="94">
        <v>1.0</v>
      </c>
      <c r="E20" s="47"/>
      <c r="F20" s="1" t="s">
        <v>31</v>
      </c>
      <c r="G20" s="44">
        <v>2791.0</v>
      </c>
      <c r="H20" s="112" t="s">
        <v>75</v>
      </c>
      <c r="I20" s="117">
        <v>1801.0</v>
      </c>
      <c r="J20" s="118">
        <v>16.0</v>
      </c>
      <c r="K20" s="118">
        <v>16.0</v>
      </c>
      <c r="L20" s="106">
        <f t="shared" si="1"/>
        <v>32</v>
      </c>
      <c r="M20" s="4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102">
        <v>45576.0</v>
      </c>
      <c r="C21" s="93" t="s">
        <v>92</v>
      </c>
      <c r="D21" s="94">
        <v>1.0</v>
      </c>
      <c r="E21" s="47"/>
      <c r="F21" s="1" t="s">
        <v>31</v>
      </c>
      <c r="G21" s="44">
        <v>2791.0</v>
      </c>
      <c r="H21" s="95" t="s">
        <v>99</v>
      </c>
      <c r="I21" s="108">
        <v>2730.0</v>
      </c>
      <c r="J21" s="96">
        <v>40.0</v>
      </c>
      <c r="K21" s="97">
        <v>40.0</v>
      </c>
      <c r="L21" s="106">
        <f t="shared" si="1"/>
        <v>80</v>
      </c>
      <c r="M21" s="4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102">
        <v>45579.0</v>
      </c>
      <c r="C22" s="93" t="s">
        <v>92</v>
      </c>
      <c r="D22" s="94">
        <v>1.0</v>
      </c>
      <c r="E22" s="47"/>
      <c r="F22" s="1" t="s">
        <v>31</v>
      </c>
      <c r="G22" s="44">
        <v>2791.0</v>
      </c>
      <c r="H22" s="95" t="s">
        <v>99</v>
      </c>
      <c r="I22" s="108">
        <v>2730.0</v>
      </c>
      <c r="J22" s="96">
        <v>40.0</v>
      </c>
      <c r="K22" s="97">
        <v>40.0</v>
      </c>
      <c r="L22" s="106">
        <f t="shared" si="1"/>
        <v>80</v>
      </c>
      <c r="M22" s="4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102">
        <v>45588.0</v>
      </c>
      <c r="C23" s="93" t="s">
        <v>92</v>
      </c>
      <c r="D23" s="94">
        <v>1.0</v>
      </c>
      <c r="E23" s="47"/>
      <c r="F23" s="1" t="s">
        <v>31</v>
      </c>
      <c r="G23" s="44">
        <v>2791.0</v>
      </c>
      <c r="H23" s="95" t="s">
        <v>99</v>
      </c>
      <c r="I23" s="108">
        <v>2730.0</v>
      </c>
      <c r="J23" s="96">
        <v>40.0</v>
      </c>
      <c r="K23" s="97">
        <v>40.0</v>
      </c>
      <c r="L23" s="106">
        <f t="shared" si="1"/>
        <v>80</v>
      </c>
      <c r="M23" s="4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102">
        <v>45589.0</v>
      </c>
      <c r="C24" s="93" t="s">
        <v>92</v>
      </c>
      <c r="D24" s="94">
        <v>1.0</v>
      </c>
      <c r="E24" s="47"/>
      <c r="F24" s="1" t="s">
        <v>31</v>
      </c>
      <c r="G24" s="44">
        <v>2791.0</v>
      </c>
      <c r="H24" s="95" t="s">
        <v>99</v>
      </c>
      <c r="I24" s="108">
        <v>2730.0</v>
      </c>
      <c r="J24" s="96">
        <v>40.0</v>
      </c>
      <c r="K24" s="97">
        <v>40.0</v>
      </c>
      <c r="L24" s="106">
        <f t="shared" si="1"/>
        <v>80</v>
      </c>
      <c r="M24" s="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102">
        <v>45590.0</v>
      </c>
      <c r="C25" s="93" t="s">
        <v>92</v>
      </c>
      <c r="D25" s="94">
        <v>1.0</v>
      </c>
      <c r="E25" s="47"/>
      <c r="F25" s="1" t="s">
        <v>31</v>
      </c>
      <c r="G25" s="44">
        <v>2791.0</v>
      </c>
      <c r="H25" s="95" t="s">
        <v>99</v>
      </c>
      <c r="I25" s="108">
        <v>2730.0</v>
      </c>
      <c r="J25" s="96">
        <v>40.0</v>
      </c>
      <c r="K25" s="97">
        <v>40.0</v>
      </c>
      <c r="L25" s="106">
        <f t="shared" si="1"/>
        <v>80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102">
        <v>45594.0</v>
      </c>
      <c r="C26" s="93" t="s">
        <v>92</v>
      </c>
      <c r="D26" s="94">
        <v>1.0</v>
      </c>
      <c r="E26" s="47"/>
      <c r="F26" s="1" t="s">
        <v>31</v>
      </c>
      <c r="G26" s="44">
        <v>2791.0</v>
      </c>
      <c r="H26" s="95" t="s">
        <v>99</v>
      </c>
      <c r="I26" s="108">
        <v>2730.0</v>
      </c>
      <c r="J26" s="96">
        <v>40.0</v>
      </c>
      <c r="K26" s="97">
        <v>40.0</v>
      </c>
      <c r="L26" s="106">
        <f t="shared" si="1"/>
        <v>80</v>
      </c>
      <c r="M26" s="4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34"/>
      <c r="C27" s="35"/>
      <c r="D27" s="47"/>
      <c r="E27" s="47"/>
      <c r="F27" s="39"/>
      <c r="G27" s="44"/>
      <c r="H27" s="47"/>
      <c r="I27" s="44"/>
      <c r="J27" s="43"/>
      <c r="K27" s="43"/>
      <c r="L27" s="43"/>
      <c r="M27" s="4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34"/>
      <c r="C28" s="35"/>
      <c r="D28" s="47"/>
      <c r="E28" s="47"/>
      <c r="F28" s="39"/>
      <c r="G28" s="44"/>
      <c r="H28" s="47"/>
      <c r="I28" s="44"/>
      <c r="J28" s="43"/>
      <c r="K28" s="43"/>
      <c r="L28" s="43"/>
      <c r="M28" s="4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34"/>
      <c r="C29" s="35"/>
      <c r="D29" s="47"/>
      <c r="E29" s="47"/>
      <c r="F29" s="39"/>
      <c r="G29" s="44"/>
      <c r="H29" s="47"/>
      <c r="I29" s="44"/>
      <c r="J29" s="43"/>
      <c r="K29" s="43"/>
      <c r="L29" s="43"/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34"/>
      <c r="C30" s="35"/>
      <c r="D30" s="47"/>
      <c r="E30" s="47"/>
      <c r="F30" s="39"/>
      <c r="G30" s="44"/>
      <c r="H30" s="47"/>
      <c r="I30" s="44"/>
      <c r="J30" s="43"/>
      <c r="K30" s="43"/>
      <c r="L30" s="43"/>
      <c r="M30" s="4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34"/>
      <c r="C31" s="35"/>
      <c r="D31" s="47"/>
      <c r="E31" s="47"/>
      <c r="F31" s="39"/>
      <c r="G31" s="44"/>
      <c r="H31" s="47"/>
      <c r="I31" s="44"/>
      <c r="J31" s="43"/>
      <c r="K31" s="43"/>
      <c r="L31" s="43"/>
      <c r="M31" s="4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34"/>
      <c r="C32" s="35"/>
      <c r="D32" s="47"/>
      <c r="E32" s="47"/>
      <c r="F32" s="39"/>
      <c r="G32" s="44"/>
      <c r="H32" s="47"/>
      <c r="I32" s="44"/>
      <c r="J32" s="43"/>
      <c r="K32" s="43"/>
      <c r="L32" s="43"/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34"/>
      <c r="C33" s="35"/>
      <c r="D33" s="47"/>
      <c r="E33" s="47"/>
      <c r="F33" s="39"/>
      <c r="G33" s="44"/>
      <c r="H33" s="47"/>
      <c r="I33" s="44"/>
      <c r="J33" s="43"/>
      <c r="K33" s="43"/>
      <c r="L33" s="43"/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34"/>
      <c r="C34" s="35"/>
      <c r="D34" s="47"/>
      <c r="E34" s="47"/>
      <c r="F34" s="39"/>
      <c r="G34" s="44"/>
      <c r="H34" s="47"/>
      <c r="I34" s="44"/>
      <c r="J34" s="43"/>
      <c r="K34" s="43"/>
      <c r="L34" s="43"/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34"/>
      <c r="C35" s="35"/>
      <c r="D35" s="47"/>
      <c r="E35" s="47"/>
      <c r="F35" s="39"/>
      <c r="G35" s="44"/>
      <c r="H35" s="47"/>
      <c r="I35" s="44"/>
      <c r="J35" s="43"/>
      <c r="K35" s="43"/>
      <c r="L35" s="43"/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34"/>
      <c r="C36" s="35"/>
      <c r="D36" s="47"/>
      <c r="E36" s="47"/>
      <c r="F36" s="39"/>
      <c r="G36" s="44"/>
      <c r="H36" s="47"/>
      <c r="I36" s="44"/>
      <c r="J36" s="43"/>
      <c r="K36" s="43"/>
      <c r="L36" s="43"/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34"/>
      <c r="C37" s="35"/>
      <c r="D37" s="47"/>
      <c r="E37" s="47"/>
      <c r="F37" s="39"/>
      <c r="G37" s="44"/>
      <c r="H37" s="47"/>
      <c r="I37" s="44"/>
      <c r="J37" s="43"/>
      <c r="K37" s="43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34"/>
      <c r="C38" s="35"/>
      <c r="D38" s="47"/>
      <c r="E38" s="47"/>
      <c r="F38" s="39"/>
      <c r="G38" s="44"/>
      <c r="H38" s="47"/>
      <c r="I38" s="44"/>
      <c r="J38" s="43"/>
      <c r="K38" s="43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34"/>
      <c r="C39" s="35"/>
      <c r="D39" s="47"/>
      <c r="E39" s="47"/>
      <c r="F39" s="39"/>
      <c r="G39" s="44"/>
      <c r="H39" s="47"/>
      <c r="I39" s="44"/>
      <c r="J39" s="43"/>
      <c r="K39" s="43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34"/>
      <c r="C40" s="35"/>
      <c r="D40" s="47"/>
      <c r="E40" s="47"/>
      <c r="F40" s="39"/>
      <c r="G40" s="44"/>
      <c r="H40" s="47"/>
      <c r="I40" s="44"/>
      <c r="J40" s="43"/>
      <c r="K40" s="43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34"/>
      <c r="C41" s="35"/>
      <c r="D41" s="47"/>
      <c r="E41" s="47"/>
      <c r="F41" s="39"/>
      <c r="G41" s="44"/>
      <c r="H41" s="47"/>
      <c r="I41" s="44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34"/>
      <c r="C42" s="53"/>
      <c r="D42" s="54"/>
      <c r="E42" s="54"/>
      <c r="F42" s="39"/>
      <c r="G42" s="44"/>
      <c r="H42" s="54"/>
      <c r="I42" s="44"/>
      <c r="J42" s="55"/>
      <c r="K42" s="55"/>
      <c r="L42" s="107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34"/>
      <c r="C43" s="35"/>
      <c r="D43" s="47"/>
      <c r="E43" s="47"/>
      <c r="F43" s="39"/>
      <c r="G43" s="44"/>
      <c r="H43" s="47"/>
      <c r="I43" s="44"/>
      <c r="J43" s="43"/>
      <c r="K43" s="43"/>
      <c r="L43" s="43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34"/>
      <c r="C44" s="35"/>
      <c r="D44" s="47"/>
      <c r="E44" s="47"/>
      <c r="F44" s="39"/>
      <c r="G44" s="44"/>
      <c r="H44" s="47"/>
      <c r="I44" s="44"/>
      <c r="J44" s="43"/>
      <c r="K44" s="43"/>
      <c r="L44" s="43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34"/>
      <c r="C45" s="35"/>
      <c r="D45" s="47"/>
      <c r="E45" s="47"/>
      <c r="F45" s="39"/>
      <c r="G45" s="44"/>
      <c r="H45" s="47"/>
      <c r="I45" s="44"/>
      <c r="J45" s="43"/>
      <c r="K45" s="43"/>
      <c r="L45" s="43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34"/>
      <c r="C46" s="35"/>
      <c r="D46" s="47"/>
      <c r="E46" s="47"/>
      <c r="F46" s="39"/>
      <c r="G46" s="44"/>
      <c r="H46" s="47"/>
      <c r="I46" s="44"/>
      <c r="J46" s="43"/>
      <c r="K46" s="43"/>
      <c r="L46" s="43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34"/>
      <c r="C47" s="35"/>
      <c r="D47" s="47"/>
      <c r="E47" s="47"/>
      <c r="F47" s="39"/>
      <c r="G47" s="44"/>
      <c r="H47" s="47"/>
      <c r="I47" s="44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34"/>
      <c r="C48" s="35"/>
      <c r="D48" s="47"/>
      <c r="E48" s="47"/>
      <c r="F48" s="39"/>
      <c r="G48" s="44"/>
      <c r="H48" s="47"/>
      <c r="I48" s="44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34"/>
      <c r="C49" s="35"/>
      <c r="D49" s="47"/>
      <c r="E49" s="47"/>
      <c r="F49" s="39"/>
      <c r="G49" s="44"/>
      <c r="H49" s="47"/>
      <c r="I49" s="44"/>
      <c r="J49" s="43"/>
      <c r="K49" s="43"/>
      <c r="L49" s="43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34"/>
      <c r="C50" s="35"/>
      <c r="D50" s="47"/>
      <c r="E50" s="47"/>
      <c r="F50" s="39"/>
      <c r="G50" s="44"/>
      <c r="H50" s="47"/>
      <c r="I50" s="44"/>
      <c r="J50" s="43"/>
      <c r="K50" s="43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34"/>
      <c r="C51" s="35"/>
      <c r="D51" s="47"/>
      <c r="E51" s="47"/>
      <c r="F51" s="39"/>
      <c r="G51" s="44"/>
      <c r="H51" s="47"/>
      <c r="I51" s="44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34"/>
      <c r="C52" s="35"/>
      <c r="D52" s="47"/>
      <c r="E52" s="47"/>
      <c r="F52" s="39"/>
      <c r="G52" s="44"/>
      <c r="H52" s="47"/>
      <c r="I52" s="44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34"/>
      <c r="C53" s="35"/>
      <c r="D53" s="47"/>
      <c r="E53" s="47"/>
      <c r="F53" s="39"/>
      <c r="G53" s="44"/>
      <c r="H53" s="47"/>
      <c r="I53" s="44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34"/>
      <c r="C54" s="35"/>
      <c r="D54" s="47"/>
      <c r="E54" s="47"/>
      <c r="F54" s="39"/>
      <c r="G54" s="44"/>
      <c r="H54" s="47"/>
      <c r="I54" s="44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34"/>
      <c r="C55" s="35"/>
      <c r="D55" s="47"/>
      <c r="E55" s="47"/>
      <c r="F55" s="39"/>
      <c r="G55" s="44"/>
      <c r="H55" s="47"/>
      <c r="I55" s="44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34"/>
      <c r="C56" s="35"/>
      <c r="D56" s="47"/>
      <c r="E56" s="47"/>
      <c r="F56" s="39"/>
      <c r="G56" s="44"/>
      <c r="H56" s="47"/>
      <c r="I56" s="44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34"/>
      <c r="C57" s="35"/>
      <c r="D57" s="47"/>
      <c r="E57" s="47"/>
      <c r="F57" s="39"/>
      <c r="G57" s="44"/>
      <c r="H57" s="47"/>
      <c r="I57" s="44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34"/>
      <c r="C58" s="35"/>
      <c r="D58" s="47"/>
      <c r="E58" s="47"/>
      <c r="F58" s="39"/>
      <c r="G58" s="44"/>
      <c r="H58" s="47"/>
      <c r="I58" s="44"/>
      <c r="J58" s="43"/>
      <c r="K58" s="43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34"/>
      <c r="C59" s="35"/>
      <c r="D59" s="47"/>
      <c r="E59" s="47"/>
      <c r="F59" s="39"/>
      <c r="G59" s="44"/>
      <c r="H59" s="47"/>
      <c r="I59" s="44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34"/>
      <c r="C60" s="35"/>
      <c r="D60" s="47"/>
      <c r="E60" s="47"/>
      <c r="F60" s="39"/>
      <c r="G60" s="44"/>
      <c r="H60" s="47"/>
      <c r="I60" s="44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34"/>
      <c r="C61" s="35"/>
      <c r="D61" s="47"/>
      <c r="E61" s="47"/>
      <c r="F61" s="39"/>
      <c r="G61" s="44"/>
      <c r="H61" s="47"/>
      <c r="I61" s="44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34"/>
      <c r="C62" s="35"/>
      <c r="D62" s="47"/>
      <c r="E62" s="47"/>
      <c r="F62" s="39"/>
      <c r="G62" s="44"/>
      <c r="H62" s="47"/>
      <c r="I62" s="44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34"/>
      <c r="C63" s="35"/>
      <c r="D63" s="47"/>
      <c r="E63" s="47"/>
      <c r="F63" s="39"/>
      <c r="G63" s="44"/>
      <c r="H63" s="47"/>
      <c r="I63" s="44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34"/>
      <c r="C64" s="35"/>
      <c r="D64" s="47"/>
      <c r="E64" s="47"/>
      <c r="F64" s="39"/>
      <c r="G64" s="44"/>
      <c r="H64" s="47"/>
      <c r="I64" s="44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34"/>
      <c r="C65" s="35"/>
      <c r="D65" s="47"/>
      <c r="E65" s="47"/>
      <c r="F65" s="39"/>
      <c r="G65" s="44"/>
      <c r="H65" s="47"/>
      <c r="I65" s="44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34"/>
      <c r="C66" s="35"/>
      <c r="D66" s="47"/>
      <c r="E66" s="47"/>
      <c r="F66" s="39"/>
      <c r="G66" s="44"/>
      <c r="H66" s="47"/>
      <c r="I66" s="44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34"/>
      <c r="C67" s="35"/>
      <c r="D67" s="47"/>
      <c r="E67" s="47"/>
      <c r="F67" s="39"/>
      <c r="G67" s="44"/>
      <c r="H67" s="47"/>
      <c r="I67" s="44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34"/>
      <c r="C68" s="35"/>
      <c r="D68" s="47"/>
      <c r="E68" s="47"/>
      <c r="F68" s="39"/>
      <c r="G68" s="44"/>
      <c r="H68" s="47"/>
      <c r="I68" s="44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34"/>
      <c r="C69" s="35"/>
      <c r="D69" s="47"/>
      <c r="E69" s="47"/>
      <c r="F69" s="39"/>
      <c r="G69" s="44"/>
      <c r="H69" s="47"/>
      <c r="I69" s="44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34"/>
      <c r="C70" s="35"/>
      <c r="D70" s="47"/>
      <c r="E70" s="47"/>
      <c r="F70" s="39"/>
      <c r="G70" s="44"/>
      <c r="H70" s="47"/>
      <c r="I70" s="44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34"/>
      <c r="C71" s="35"/>
      <c r="D71" s="47"/>
      <c r="E71" s="47"/>
      <c r="F71" s="39"/>
      <c r="G71" s="44"/>
      <c r="H71" s="47"/>
      <c r="I71" s="44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34"/>
      <c r="C72" s="35"/>
      <c r="D72" s="47"/>
      <c r="E72" s="47"/>
      <c r="F72" s="39"/>
      <c r="G72" s="44"/>
      <c r="H72" s="47"/>
      <c r="I72" s="44"/>
      <c r="J72" s="43"/>
      <c r="K72" s="43"/>
      <c r="L72" s="43"/>
      <c r="M72" s="43">
        <f t="shared" ref="M72:M73" si="2">(K72-J72)*E72</f>
        <v>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34"/>
      <c r="C73" s="35"/>
      <c r="D73" s="47"/>
      <c r="E73" s="47"/>
      <c r="F73" s="39"/>
      <c r="G73" s="44"/>
      <c r="H73" s="47"/>
      <c r="I73" s="44"/>
      <c r="J73" s="43"/>
      <c r="K73" s="43"/>
      <c r="L73" s="43"/>
      <c r="M73" s="43">
        <f t="shared" si="2"/>
        <v>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6" t="s">
        <v>38</v>
      </c>
      <c r="D75" s="57"/>
      <c r="E75" s="57"/>
      <c r="F75" s="57"/>
      <c r="G75" s="5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9"/>
      <c r="G76" s="60"/>
      <c r="H76" s="43">
        <v>0.0</v>
      </c>
      <c r="I76" s="61" t="s">
        <v>39</v>
      </c>
      <c r="J76" s="62"/>
      <c r="K76" s="62"/>
      <c r="L76" s="62"/>
      <c r="M76" s="63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64"/>
      <c r="D77" s="65"/>
      <c r="E77" s="65"/>
      <c r="F77" s="65"/>
      <c r="G77" s="66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5"/>
      <c r="B78" s="5"/>
      <c r="C78" s="67" t="s">
        <v>40</v>
      </c>
      <c r="D78" s="62"/>
      <c r="E78" s="62"/>
      <c r="F78" s="62"/>
      <c r="G78" s="14"/>
      <c r="H78" s="68" t="str">
        <f>SUM(#REF!)</f>
        <v>#REF!</v>
      </c>
      <c r="I78" s="69" t="s">
        <v>41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9.5" customHeight="1">
      <c r="A80" s="5"/>
      <c r="B80" s="5"/>
      <c r="C80" s="67" t="s">
        <v>42</v>
      </c>
      <c r="D80" s="62"/>
      <c r="E80" s="62"/>
      <c r="F80" s="62"/>
      <c r="G80" s="63"/>
      <c r="H80" s="68" t="str">
        <f>H76+H78</f>
        <v>#REF!</v>
      </c>
      <c r="I80" s="69" t="s">
        <v>41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75" customHeight="1">
      <c r="A82" s="5"/>
      <c r="B82" s="5"/>
      <c r="C82" s="67" t="s">
        <v>43</v>
      </c>
      <c r="D82" s="62"/>
      <c r="E82" s="62"/>
      <c r="F82" s="62"/>
      <c r="G82" s="63"/>
      <c r="H82" s="68" t="str">
        <f>IF(H80&lt;=20000,H78,IF(H76&gt;20000,0,20000-H76))</f>
        <v>#REF!</v>
      </c>
      <c r="I82" s="69" t="s">
        <v>41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5"/>
      <c r="B84" s="5"/>
      <c r="C84" s="67" t="s">
        <v>44</v>
      </c>
      <c r="D84" s="62"/>
      <c r="E84" s="62"/>
      <c r="F84" s="62"/>
      <c r="G84" s="14"/>
      <c r="H84" s="68" t="str">
        <f>IF(H80&gt;20000,H80-H76-H82,0)</f>
        <v>#REF!</v>
      </c>
      <c r="I84" s="69" t="s">
        <v>41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7.25" customHeight="1">
      <c r="A86" s="5"/>
      <c r="B86" s="5"/>
      <c r="C86" s="70" t="s">
        <v>45</v>
      </c>
      <c r="D86" s="71">
        <v>3.79</v>
      </c>
      <c r="E86" s="72" t="s">
        <v>46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5"/>
      <c r="B87" s="5"/>
      <c r="C87" s="32"/>
      <c r="D87" s="71">
        <v>2.23</v>
      </c>
      <c r="E87" s="72" t="s">
        <v>47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30.0" customHeight="1">
      <c r="A89" s="5"/>
      <c r="B89" s="5"/>
      <c r="C89" s="73" t="s">
        <v>48</v>
      </c>
      <c r="D89" s="62"/>
      <c r="E89" s="62"/>
      <c r="F89" s="14"/>
      <c r="G89" s="74" t="str">
        <f>(H82*D86)+(H84*D87)</f>
        <v>#REF!</v>
      </c>
      <c r="H89" s="12"/>
      <c r="I89" s="69" t="s">
        <v>41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75" t="s">
        <v>49</v>
      </c>
      <c r="D91" s="76"/>
      <c r="E91" s="77"/>
      <c r="F91" s="78"/>
      <c r="G91" s="76"/>
      <c r="H91" s="76"/>
      <c r="I91" s="7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79"/>
      <c r="D92" s="65"/>
      <c r="E92" s="80"/>
      <c r="F92" s="79"/>
      <c r="G92" s="65"/>
      <c r="H92" s="65"/>
      <c r="I92" s="80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3.25" customHeight="1">
      <c r="A93" s="5"/>
      <c r="B93" s="5"/>
      <c r="C93" s="81" t="s">
        <v>50</v>
      </c>
      <c r="D93" s="15"/>
      <c r="E93" s="12"/>
      <c r="F93" s="82"/>
      <c r="G93" s="15"/>
      <c r="H93" s="15"/>
      <c r="I93" s="12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0">
    <mergeCell ref="A5:D5"/>
    <mergeCell ref="B7:M7"/>
    <mergeCell ref="C9:D9"/>
    <mergeCell ref="H9:I9"/>
    <mergeCell ref="J9:M9"/>
    <mergeCell ref="C10:D10"/>
    <mergeCell ref="H10:I10"/>
    <mergeCell ref="J10:M10"/>
    <mergeCell ref="B14:M14"/>
    <mergeCell ref="B16:B17"/>
    <mergeCell ref="C16:C17"/>
    <mergeCell ref="D16:E16"/>
    <mergeCell ref="H16:I16"/>
    <mergeCell ref="J16:K16"/>
    <mergeCell ref="F16:G16"/>
    <mergeCell ref="C75:G77"/>
    <mergeCell ref="I76:M76"/>
    <mergeCell ref="C78:G78"/>
    <mergeCell ref="C80:G80"/>
    <mergeCell ref="C82:G82"/>
    <mergeCell ref="C84:G84"/>
    <mergeCell ref="C93:E93"/>
    <mergeCell ref="F93:I93"/>
    <mergeCell ref="C86:C87"/>
    <mergeCell ref="E86:I86"/>
    <mergeCell ref="E87:I87"/>
    <mergeCell ref="C89:F89"/>
    <mergeCell ref="G89:H89"/>
    <mergeCell ref="C91:E92"/>
    <mergeCell ref="F91:I92"/>
  </mergeCells>
  <dataValidations>
    <dataValidation type="decimal" allowBlank="1" showInputMessage="1" showErrorMessage="1" prompt="Ugyldigt tal - Tallet på kilometertælleren skal være mellem 0 and 999.999,9" sqref="J18:K26">
      <formula1>0.0</formula1>
      <formula2>999999.9</formula2>
    </dataValidation>
  </dataValidations>
  <hyperlinks>
    <hyperlink r:id="rId1" ref="A13"/>
  </hyperlinks>
  <printOptions/>
  <pageMargins bottom="0.75" footer="0.0" header="0.0" left="0.7" right="0.7" top="0.75"/>
  <pageSetup orientation="landscape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0.13"/>
    <col customWidth="1" min="3" max="3" width="62.25"/>
    <col customWidth="1" min="4" max="4" width="12.25"/>
    <col customWidth="1" min="5" max="5" width="12.38"/>
    <col customWidth="1" min="6" max="6" width="20.88"/>
    <col customWidth="1" min="7" max="7" width="11.25"/>
    <col customWidth="1" min="8" max="8" width="19.38"/>
    <col customWidth="1" min="9" max="9" width="11.63"/>
    <col customWidth="1" min="10" max="10" width="13.38"/>
    <col customWidth="1" min="11" max="11" width="14.13"/>
    <col customWidth="1" min="12" max="13" width="14.5"/>
    <col customWidth="1" min="14" max="14" width="19.5"/>
    <col customWidth="1" min="15" max="26" width="8.75"/>
  </cols>
  <sheetData>
    <row r="1" ht="12.75" customHeight="1">
      <c r="A1" s="5"/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9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8"/>
      <c r="B9" s="10" t="s">
        <v>4</v>
      </c>
      <c r="C9" s="88">
        <v>45604.0</v>
      </c>
      <c r="D9" s="12"/>
      <c r="E9" s="9"/>
      <c r="F9" s="9"/>
      <c r="G9" s="9"/>
      <c r="H9" s="13" t="s">
        <v>6</v>
      </c>
      <c r="I9" s="14"/>
      <c r="J9" s="11" t="s">
        <v>7</v>
      </c>
      <c r="K9" s="15"/>
      <c r="L9" s="15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8"/>
      <c r="B10" s="16" t="s">
        <v>8</v>
      </c>
      <c r="C10" s="101" t="s">
        <v>63</v>
      </c>
      <c r="D10" s="12"/>
      <c r="E10" s="9"/>
      <c r="F10" s="9"/>
      <c r="G10" s="9"/>
      <c r="H10" s="13" t="s">
        <v>10</v>
      </c>
      <c r="I10" s="14"/>
      <c r="J10" s="17" t="s">
        <v>11</v>
      </c>
      <c r="K10" s="18"/>
      <c r="L10" s="18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20" t="s">
        <v>12</v>
      </c>
      <c r="K11" s="21">
        <f>SUM(L18:L30)</f>
        <v>512</v>
      </c>
      <c r="L11" s="9"/>
      <c r="M11" s="9"/>
      <c r="N11" s="100" t="s">
        <v>85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8"/>
      <c r="B12" s="9"/>
      <c r="C12" s="9"/>
      <c r="D12" s="9"/>
      <c r="E12" s="9"/>
      <c r="F12" s="9"/>
      <c r="G12" s="9"/>
      <c r="H12" s="9"/>
      <c r="I12" s="9"/>
      <c r="J12" s="20" t="s">
        <v>13</v>
      </c>
      <c r="K12" s="89">
        <v>3.79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90" t="s">
        <v>53</v>
      </c>
      <c r="B13" s="8"/>
      <c r="C13" s="8"/>
      <c r="D13" s="8"/>
      <c r="E13" s="5"/>
      <c r="F13" s="5"/>
      <c r="G13" s="5"/>
      <c r="H13" s="5"/>
      <c r="I13" s="5"/>
      <c r="J13" s="20" t="s">
        <v>15</v>
      </c>
      <c r="K13" s="22">
        <f>SUM(K11*K12)</f>
        <v>1940.48</v>
      </c>
      <c r="L13" s="10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24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27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5.25" customHeight="1">
      <c r="A16" s="5"/>
      <c r="B16" s="29" t="s">
        <v>17</v>
      </c>
      <c r="C16" s="30" t="s">
        <v>18</v>
      </c>
      <c r="D16" s="31" t="s">
        <v>19</v>
      </c>
      <c r="E16" s="26"/>
      <c r="F16" s="31" t="s">
        <v>20</v>
      </c>
      <c r="G16" s="26"/>
      <c r="H16" s="31" t="s">
        <v>21</v>
      </c>
      <c r="I16" s="26"/>
      <c r="J16" s="31" t="s">
        <v>22</v>
      </c>
      <c r="K16" s="26"/>
      <c r="L16" s="104"/>
      <c r="M16" s="10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32"/>
      <c r="C17" s="32"/>
      <c r="D17" s="33" t="s">
        <v>24</v>
      </c>
      <c r="E17" s="33" t="s">
        <v>25</v>
      </c>
      <c r="F17" s="33" t="s">
        <v>26</v>
      </c>
      <c r="G17" s="33" t="s">
        <v>27</v>
      </c>
      <c r="H17" s="33" t="s">
        <v>26</v>
      </c>
      <c r="I17" s="33" t="s">
        <v>27</v>
      </c>
      <c r="J17" s="33" t="s">
        <v>28</v>
      </c>
      <c r="K17" s="33" t="s">
        <v>29</v>
      </c>
      <c r="L17" s="105" t="s">
        <v>24</v>
      </c>
      <c r="M17" s="33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5"/>
      <c r="B18" s="102">
        <v>45601.0</v>
      </c>
      <c r="C18" s="93" t="s">
        <v>74</v>
      </c>
      <c r="D18" s="36">
        <v>1.0</v>
      </c>
      <c r="E18" s="47"/>
      <c r="F18" s="3" t="s">
        <v>31</v>
      </c>
      <c r="G18" s="44">
        <v>2791.0</v>
      </c>
      <c r="H18" s="95" t="s">
        <v>75</v>
      </c>
      <c r="I18" s="108">
        <v>1801.0</v>
      </c>
      <c r="J18" s="96">
        <v>16.0</v>
      </c>
      <c r="K18" s="97">
        <v>16.0</v>
      </c>
      <c r="L18" s="106">
        <f t="shared" ref="L18:L24" si="1">SUM(J18:K18)</f>
        <v>32</v>
      </c>
      <c r="M18" s="4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5"/>
      <c r="B19" s="102">
        <v>45600.0</v>
      </c>
      <c r="C19" s="93" t="s">
        <v>92</v>
      </c>
      <c r="D19" s="94">
        <v>1.0</v>
      </c>
      <c r="E19" s="47"/>
      <c r="F19" s="1" t="s">
        <v>31</v>
      </c>
      <c r="G19" s="44">
        <v>2791.0</v>
      </c>
      <c r="H19" s="95" t="s">
        <v>99</v>
      </c>
      <c r="I19" s="108">
        <v>2730.0</v>
      </c>
      <c r="J19" s="96">
        <v>40.0</v>
      </c>
      <c r="K19" s="97">
        <v>40.0</v>
      </c>
      <c r="L19" s="106">
        <f t="shared" si="1"/>
        <v>80</v>
      </c>
      <c r="M19" s="4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102">
        <v>45602.0</v>
      </c>
      <c r="C20" s="93" t="s">
        <v>92</v>
      </c>
      <c r="D20" s="94">
        <v>1.0</v>
      </c>
      <c r="E20" s="47"/>
      <c r="F20" s="3" t="s">
        <v>31</v>
      </c>
      <c r="G20" s="44">
        <v>2791.0</v>
      </c>
      <c r="H20" s="95" t="s">
        <v>99</v>
      </c>
      <c r="I20" s="108">
        <v>2730.0</v>
      </c>
      <c r="J20" s="96">
        <v>40.0</v>
      </c>
      <c r="K20" s="97">
        <v>40.0</v>
      </c>
      <c r="L20" s="106">
        <f t="shared" si="1"/>
        <v>80</v>
      </c>
      <c r="M20" s="4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102">
        <v>45608.0</v>
      </c>
      <c r="C21" s="93" t="s">
        <v>92</v>
      </c>
      <c r="D21" s="94">
        <v>1.0</v>
      </c>
      <c r="E21" s="47"/>
      <c r="F21" s="1" t="s">
        <v>31</v>
      </c>
      <c r="G21" s="44">
        <v>2791.0</v>
      </c>
      <c r="H21" s="95" t="s">
        <v>99</v>
      </c>
      <c r="I21" s="108">
        <v>2730.0</v>
      </c>
      <c r="J21" s="96">
        <v>40.0</v>
      </c>
      <c r="K21" s="97">
        <v>40.0</v>
      </c>
      <c r="L21" s="106">
        <f t="shared" si="1"/>
        <v>80</v>
      </c>
      <c r="M21" s="4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102">
        <v>45609.0</v>
      </c>
      <c r="C22" s="93" t="s">
        <v>92</v>
      </c>
      <c r="D22" s="94">
        <v>1.0</v>
      </c>
      <c r="E22" s="47"/>
      <c r="F22" s="3" t="s">
        <v>31</v>
      </c>
      <c r="G22" s="44">
        <v>2791.0</v>
      </c>
      <c r="H22" s="95" t="s">
        <v>99</v>
      </c>
      <c r="I22" s="108">
        <v>2730.0</v>
      </c>
      <c r="J22" s="96">
        <v>40.0</v>
      </c>
      <c r="K22" s="97">
        <v>40.0</v>
      </c>
      <c r="L22" s="106">
        <f t="shared" si="1"/>
        <v>80</v>
      </c>
      <c r="M22" s="4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102">
        <v>45610.0</v>
      </c>
      <c r="C23" s="93" t="s">
        <v>92</v>
      </c>
      <c r="D23" s="94">
        <v>1.0</v>
      </c>
      <c r="E23" s="47"/>
      <c r="F23" s="1" t="s">
        <v>31</v>
      </c>
      <c r="G23" s="44">
        <v>2791.0</v>
      </c>
      <c r="H23" s="95" t="s">
        <v>99</v>
      </c>
      <c r="I23" s="108">
        <v>2730.0</v>
      </c>
      <c r="J23" s="96">
        <v>40.0</v>
      </c>
      <c r="K23" s="97">
        <v>40.0</v>
      </c>
      <c r="L23" s="106">
        <f t="shared" si="1"/>
        <v>80</v>
      </c>
      <c r="M23" s="4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102">
        <v>45611.0</v>
      </c>
      <c r="C24" s="93" t="s">
        <v>92</v>
      </c>
      <c r="D24" s="94">
        <v>1.0</v>
      </c>
      <c r="E24" s="47"/>
      <c r="F24" s="3" t="s">
        <v>31</v>
      </c>
      <c r="G24" s="44">
        <v>2791.0</v>
      </c>
      <c r="H24" s="95" t="s">
        <v>99</v>
      </c>
      <c r="I24" s="108">
        <v>2730.0</v>
      </c>
      <c r="J24" s="96">
        <v>40.0</v>
      </c>
      <c r="K24" s="97">
        <v>40.0</v>
      </c>
      <c r="L24" s="106">
        <f t="shared" si="1"/>
        <v>80</v>
      </c>
      <c r="M24" s="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102"/>
      <c r="C25" s="93"/>
      <c r="D25" s="36"/>
      <c r="E25" s="47"/>
      <c r="G25" s="44"/>
      <c r="H25" s="95"/>
      <c r="I25" s="108"/>
      <c r="J25" s="96"/>
      <c r="K25" s="97"/>
      <c r="L25" s="106"/>
      <c r="M25" s="4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34"/>
      <c r="C27" s="35"/>
      <c r="D27" s="36"/>
      <c r="E27" s="47"/>
      <c r="G27" s="44"/>
      <c r="H27" s="39"/>
      <c r="I27" s="44"/>
      <c r="J27" s="41"/>
      <c r="K27" s="42"/>
      <c r="L27" s="106"/>
      <c r="M27" s="4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34"/>
      <c r="C28" s="35"/>
      <c r="D28" s="47"/>
      <c r="E28" s="47"/>
      <c r="F28" s="39"/>
      <c r="G28" s="44"/>
      <c r="H28" s="47"/>
      <c r="I28" s="44"/>
      <c r="J28" s="43"/>
      <c r="K28" s="43"/>
      <c r="L28" s="43"/>
      <c r="M28" s="4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34"/>
      <c r="C29" s="35"/>
      <c r="D29" s="47"/>
      <c r="E29" s="47"/>
      <c r="F29" s="39"/>
      <c r="G29" s="44"/>
      <c r="H29" s="47"/>
      <c r="I29" s="44"/>
      <c r="J29" s="43"/>
      <c r="K29" s="43"/>
      <c r="L29" s="43"/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34"/>
      <c r="C30" s="35"/>
      <c r="D30" s="47"/>
      <c r="E30" s="47"/>
      <c r="F30" s="39"/>
      <c r="G30" s="44"/>
      <c r="H30" s="47"/>
      <c r="I30" s="44"/>
      <c r="J30" s="43"/>
      <c r="K30" s="43"/>
      <c r="L30" s="43"/>
      <c r="M30" s="4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34"/>
      <c r="C31" s="35"/>
      <c r="D31" s="47"/>
      <c r="E31" s="47"/>
      <c r="F31" s="39"/>
      <c r="G31" s="44"/>
      <c r="H31" s="47"/>
      <c r="I31" s="44"/>
      <c r="J31" s="43"/>
      <c r="K31" s="43"/>
      <c r="L31" s="43"/>
      <c r="M31" s="4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34"/>
      <c r="C32" s="35"/>
      <c r="D32" s="47"/>
      <c r="E32" s="47"/>
      <c r="F32" s="39"/>
      <c r="G32" s="44"/>
      <c r="H32" s="47"/>
      <c r="I32" s="44"/>
      <c r="J32" s="43"/>
      <c r="K32" s="43"/>
      <c r="L32" s="43"/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34"/>
      <c r="C33" s="35"/>
      <c r="D33" s="47"/>
      <c r="E33" s="47"/>
      <c r="F33" s="39"/>
      <c r="G33" s="44"/>
      <c r="H33" s="47"/>
      <c r="I33" s="44"/>
      <c r="J33" s="43"/>
      <c r="K33" s="43"/>
      <c r="L33" s="43"/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34"/>
      <c r="C34" s="35"/>
      <c r="D34" s="47"/>
      <c r="E34" s="47"/>
      <c r="F34" s="39"/>
      <c r="G34" s="44"/>
      <c r="H34" s="47"/>
      <c r="I34" s="44"/>
      <c r="J34" s="43"/>
      <c r="K34" s="43"/>
      <c r="L34" s="43"/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34"/>
      <c r="C35" s="35"/>
      <c r="D35" s="47"/>
      <c r="E35" s="47"/>
      <c r="F35" s="39"/>
      <c r="G35" s="44"/>
      <c r="H35" s="47"/>
      <c r="I35" s="44"/>
      <c r="J35" s="43"/>
      <c r="K35" s="43"/>
      <c r="L35" s="43"/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34"/>
      <c r="C36" s="35"/>
      <c r="D36" s="47"/>
      <c r="E36" s="47"/>
      <c r="F36" s="39"/>
      <c r="G36" s="44"/>
      <c r="H36" s="47"/>
      <c r="I36" s="44"/>
      <c r="J36" s="43"/>
      <c r="K36" s="43"/>
      <c r="L36" s="43"/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34"/>
      <c r="C37" s="35"/>
      <c r="D37" s="47"/>
      <c r="E37" s="47"/>
      <c r="F37" s="39"/>
      <c r="G37" s="44"/>
      <c r="H37" s="47"/>
      <c r="I37" s="44"/>
      <c r="J37" s="43"/>
      <c r="K37" s="43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34"/>
      <c r="C38" s="35"/>
      <c r="D38" s="47"/>
      <c r="E38" s="47"/>
      <c r="F38" s="39"/>
      <c r="G38" s="44"/>
      <c r="H38" s="47"/>
      <c r="I38" s="44"/>
      <c r="J38" s="43"/>
      <c r="K38" s="43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34"/>
      <c r="C39" s="35"/>
      <c r="D39" s="47"/>
      <c r="E39" s="47"/>
      <c r="F39" s="39"/>
      <c r="G39" s="44"/>
      <c r="H39" s="47"/>
      <c r="I39" s="44"/>
      <c r="J39" s="43"/>
      <c r="K39" s="43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34"/>
      <c r="C40" s="35"/>
      <c r="D40" s="47"/>
      <c r="E40" s="47"/>
      <c r="F40" s="39"/>
      <c r="G40" s="44"/>
      <c r="H40" s="47"/>
      <c r="I40" s="44"/>
      <c r="J40" s="43"/>
      <c r="K40" s="43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34"/>
      <c r="C41" s="35"/>
      <c r="D41" s="47"/>
      <c r="E41" s="47"/>
      <c r="F41" s="39"/>
      <c r="G41" s="44"/>
      <c r="H41" s="47"/>
      <c r="I41" s="44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34"/>
      <c r="C42" s="35"/>
      <c r="D42" s="47"/>
      <c r="E42" s="47"/>
      <c r="F42" s="39"/>
      <c r="G42" s="44"/>
      <c r="H42" s="47"/>
      <c r="I42" s="44"/>
      <c r="J42" s="43"/>
      <c r="K42" s="43"/>
      <c r="L42" s="43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34"/>
      <c r="C43" s="35"/>
      <c r="D43" s="47"/>
      <c r="E43" s="47"/>
      <c r="F43" s="39"/>
      <c r="G43" s="44"/>
      <c r="H43" s="47"/>
      <c r="I43" s="44"/>
      <c r="J43" s="43"/>
      <c r="K43" s="43"/>
      <c r="L43" s="43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34"/>
      <c r="C44" s="53"/>
      <c r="D44" s="54"/>
      <c r="E44" s="54"/>
      <c r="F44" s="39"/>
      <c r="G44" s="44"/>
      <c r="H44" s="54"/>
      <c r="I44" s="44"/>
      <c r="J44" s="55"/>
      <c r="K44" s="55"/>
      <c r="L44" s="107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34"/>
      <c r="C45" s="35"/>
      <c r="D45" s="47"/>
      <c r="E45" s="47"/>
      <c r="F45" s="39"/>
      <c r="G45" s="44"/>
      <c r="H45" s="47"/>
      <c r="I45" s="44"/>
      <c r="J45" s="43"/>
      <c r="K45" s="43"/>
      <c r="L45" s="43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34"/>
      <c r="C46" s="35"/>
      <c r="D46" s="47"/>
      <c r="E46" s="47"/>
      <c r="F46" s="39"/>
      <c r="G46" s="44"/>
      <c r="H46" s="47"/>
      <c r="I46" s="44"/>
      <c r="J46" s="43"/>
      <c r="K46" s="43"/>
      <c r="L46" s="43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34"/>
      <c r="C47" s="35"/>
      <c r="D47" s="47"/>
      <c r="E47" s="47"/>
      <c r="F47" s="39"/>
      <c r="G47" s="44"/>
      <c r="H47" s="47"/>
      <c r="I47" s="44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34"/>
      <c r="C48" s="35"/>
      <c r="D48" s="47"/>
      <c r="E48" s="47"/>
      <c r="F48" s="39"/>
      <c r="G48" s="44"/>
      <c r="H48" s="47"/>
      <c r="I48" s="44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34"/>
      <c r="C49" s="35"/>
      <c r="D49" s="47"/>
      <c r="E49" s="47"/>
      <c r="F49" s="39"/>
      <c r="G49" s="44"/>
      <c r="H49" s="47"/>
      <c r="I49" s="44"/>
      <c r="J49" s="43"/>
      <c r="K49" s="43"/>
      <c r="L49" s="43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34"/>
      <c r="C50" s="35"/>
      <c r="D50" s="47"/>
      <c r="E50" s="47"/>
      <c r="F50" s="39"/>
      <c r="G50" s="44"/>
      <c r="H50" s="47"/>
      <c r="I50" s="44"/>
      <c r="J50" s="43"/>
      <c r="K50" s="43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34"/>
      <c r="C51" s="35"/>
      <c r="D51" s="47"/>
      <c r="E51" s="47"/>
      <c r="F51" s="39"/>
      <c r="G51" s="44"/>
      <c r="H51" s="47"/>
      <c r="I51" s="44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34"/>
      <c r="C52" s="35"/>
      <c r="D52" s="47"/>
      <c r="E52" s="47"/>
      <c r="F52" s="39"/>
      <c r="G52" s="44"/>
      <c r="H52" s="47"/>
      <c r="I52" s="44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34"/>
      <c r="C53" s="35"/>
      <c r="D53" s="47"/>
      <c r="E53" s="47"/>
      <c r="F53" s="39"/>
      <c r="G53" s="44"/>
      <c r="H53" s="47"/>
      <c r="I53" s="44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34"/>
      <c r="C54" s="35"/>
      <c r="D54" s="47"/>
      <c r="E54" s="47"/>
      <c r="F54" s="39"/>
      <c r="G54" s="44"/>
      <c r="H54" s="47"/>
      <c r="I54" s="44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34"/>
      <c r="C55" s="35"/>
      <c r="D55" s="47"/>
      <c r="E55" s="47"/>
      <c r="F55" s="39"/>
      <c r="G55" s="44"/>
      <c r="H55" s="47"/>
      <c r="I55" s="44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34"/>
      <c r="C56" s="35"/>
      <c r="D56" s="47"/>
      <c r="E56" s="47"/>
      <c r="F56" s="39"/>
      <c r="G56" s="44"/>
      <c r="H56" s="47"/>
      <c r="I56" s="44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34"/>
      <c r="C57" s="35"/>
      <c r="D57" s="47"/>
      <c r="E57" s="47"/>
      <c r="F57" s="39"/>
      <c r="G57" s="44"/>
      <c r="H57" s="47"/>
      <c r="I57" s="44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34"/>
      <c r="C58" s="35"/>
      <c r="D58" s="47"/>
      <c r="E58" s="47"/>
      <c r="F58" s="39"/>
      <c r="G58" s="44"/>
      <c r="H58" s="47"/>
      <c r="I58" s="44"/>
      <c r="J58" s="43"/>
      <c r="K58" s="43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34"/>
      <c r="C59" s="35"/>
      <c r="D59" s="47"/>
      <c r="E59" s="47"/>
      <c r="F59" s="39"/>
      <c r="G59" s="44"/>
      <c r="H59" s="47"/>
      <c r="I59" s="44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34"/>
      <c r="C60" s="35"/>
      <c r="D60" s="47"/>
      <c r="E60" s="47"/>
      <c r="F60" s="39"/>
      <c r="G60" s="44"/>
      <c r="H60" s="47"/>
      <c r="I60" s="44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34"/>
      <c r="C61" s="35"/>
      <c r="D61" s="47"/>
      <c r="E61" s="47"/>
      <c r="F61" s="39"/>
      <c r="G61" s="44"/>
      <c r="H61" s="47"/>
      <c r="I61" s="44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34"/>
      <c r="C62" s="35"/>
      <c r="D62" s="47"/>
      <c r="E62" s="47"/>
      <c r="F62" s="39"/>
      <c r="G62" s="44"/>
      <c r="H62" s="47"/>
      <c r="I62" s="44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34"/>
      <c r="C63" s="35"/>
      <c r="D63" s="47"/>
      <c r="E63" s="47"/>
      <c r="F63" s="39"/>
      <c r="G63" s="44"/>
      <c r="H63" s="47"/>
      <c r="I63" s="44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34"/>
      <c r="C64" s="35"/>
      <c r="D64" s="47"/>
      <c r="E64" s="47"/>
      <c r="F64" s="39"/>
      <c r="G64" s="44"/>
      <c r="H64" s="47"/>
      <c r="I64" s="44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34"/>
      <c r="C65" s="35"/>
      <c r="D65" s="47"/>
      <c r="E65" s="47"/>
      <c r="F65" s="39"/>
      <c r="G65" s="44"/>
      <c r="H65" s="47"/>
      <c r="I65" s="44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34"/>
      <c r="C66" s="35"/>
      <c r="D66" s="47"/>
      <c r="E66" s="47"/>
      <c r="F66" s="39"/>
      <c r="G66" s="44"/>
      <c r="H66" s="47"/>
      <c r="I66" s="44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34"/>
      <c r="C67" s="35"/>
      <c r="D67" s="47"/>
      <c r="E67" s="47"/>
      <c r="F67" s="39"/>
      <c r="G67" s="44"/>
      <c r="H67" s="47"/>
      <c r="I67" s="44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34"/>
      <c r="C68" s="35"/>
      <c r="D68" s="47"/>
      <c r="E68" s="47"/>
      <c r="F68" s="39"/>
      <c r="G68" s="44"/>
      <c r="H68" s="47"/>
      <c r="I68" s="44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34"/>
      <c r="C69" s="35"/>
      <c r="D69" s="47"/>
      <c r="E69" s="47"/>
      <c r="F69" s="39"/>
      <c r="G69" s="44"/>
      <c r="H69" s="47"/>
      <c r="I69" s="44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34"/>
      <c r="C70" s="35"/>
      <c r="D70" s="47"/>
      <c r="E70" s="47"/>
      <c r="F70" s="39"/>
      <c r="G70" s="44"/>
      <c r="H70" s="47"/>
      <c r="I70" s="44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34"/>
      <c r="C71" s="35"/>
      <c r="D71" s="47"/>
      <c r="E71" s="47"/>
      <c r="F71" s="39"/>
      <c r="G71" s="44"/>
      <c r="H71" s="47"/>
      <c r="I71" s="44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34"/>
      <c r="C72" s="35"/>
      <c r="D72" s="47"/>
      <c r="E72" s="47"/>
      <c r="F72" s="39"/>
      <c r="G72" s="44"/>
      <c r="H72" s="47"/>
      <c r="I72" s="44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34"/>
      <c r="C73" s="35"/>
      <c r="D73" s="47"/>
      <c r="E73" s="47"/>
      <c r="F73" s="39"/>
      <c r="G73" s="44"/>
      <c r="H73" s="47"/>
      <c r="I73" s="44"/>
      <c r="J73" s="43"/>
      <c r="K73" s="43"/>
      <c r="L73" s="43"/>
      <c r="M73" s="4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34"/>
      <c r="C74" s="35"/>
      <c r="D74" s="47"/>
      <c r="E74" s="47"/>
      <c r="F74" s="39"/>
      <c r="G74" s="44"/>
      <c r="H74" s="47"/>
      <c r="I74" s="44"/>
      <c r="J74" s="43"/>
      <c r="K74" s="43"/>
      <c r="L74" s="43"/>
      <c r="M74" s="43">
        <f t="shared" ref="M74:M75" si="2">(K74-J74)*E74</f>
        <v>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34"/>
      <c r="C75" s="35"/>
      <c r="D75" s="47"/>
      <c r="E75" s="47"/>
      <c r="F75" s="39"/>
      <c r="G75" s="44"/>
      <c r="H75" s="47"/>
      <c r="I75" s="44"/>
      <c r="J75" s="43"/>
      <c r="K75" s="43"/>
      <c r="L75" s="43"/>
      <c r="M75" s="43">
        <f t="shared" si="2"/>
        <v>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6" t="s">
        <v>38</v>
      </c>
      <c r="D77" s="57"/>
      <c r="E77" s="57"/>
      <c r="F77" s="57"/>
      <c r="G77" s="5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9"/>
      <c r="G78" s="60"/>
      <c r="H78" s="43">
        <v>0.0</v>
      </c>
      <c r="I78" s="61" t="s">
        <v>39</v>
      </c>
      <c r="J78" s="62"/>
      <c r="K78" s="62"/>
      <c r="L78" s="62"/>
      <c r="M78" s="63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64"/>
      <c r="D79" s="65"/>
      <c r="E79" s="65"/>
      <c r="F79" s="65"/>
      <c r="G79" s="66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5"/>
      <c r="B80" s="5"/>
      <c r="C80" s="67" t="s">
        <v>40</v>
      </c>
      <c r="D80" s="62"/>
      <c r="E80" s="62"/>
      <c r="F80" s="62"/>
      <c r="G80" s="14"/>
      <c r="H80" s="68" t="str">
        <f>SUM(#REF!)</f>
        <v>#REF!</v>
      </c>
      <c r="I80" s="69" t="s">
        <v>41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9.5" customHeight="1">
      <c r="A82" s="5"/>
      <c r="B82" s="5"/>
      <c r="C82" s="67" t="s">
        <v>42</v>
      </c>
      <c r="D82" s="62"/>
      <c r="E82" s="62"/>
      <c r="F82" s="62"/>
      <c r="G82" s="63"/>
      <c r="H82" s="68" t="str">
        <f>H78+H80</f>
        <v>#REF!</v>
      </c>
      <c r="I82" s="69" t="s">
        <v>41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75" customHeight="1">
      <c r="A84" s="5"/>
      <c r="B84" s="5"/>
      <c r="C84" s="67" t="s">
        <v>43</v>
      </c>
      <c r="D84" s="62"/>
      <c r="E84" s="62"/>
      <c r="F84" s="62"/>
      <c r="G84" s="63"/>
      <c r="H84" s="68" t="str">
        <f>IF(H82&lt;=20000,H80,IF(H78&gt;20000,0,20000-H78))</f>
        <v>#REF!</v>
      </c>
      <c r="I84" s="69" t="s">
        <v>41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5"/>
      <c r="C86" s="67" t="s">
        <v>44</v>
      </c>
      <c r="D86" s="62"/>
      <c r="E86" s="62"/>
      <c r="F86" s="62"/>
      <c r="G86" s="14"/>
      <c r="H86" s="68" t="str">
        <f>IF(H82&gt;20000,H82-H78-H84,0)</f>
        <v>#REF!</v>
      </c>
      <c r="I86" s="69" t="s">
        <v>41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7.25" customHeight="1">
      <c r="A88" s="5"/>
      <c r="B88" s="5"/>
      <c r="C88" s="70" t="s">
        <v>45</v>
      </c>
      <c r="D88" s="71">
        <v>3.79</v>
      </c>
      <c r="E88" s="72" t="s">
        <v>46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5"/>
      <c r="B89" s="5"/>
      <c r="C89" s="32"/>
      <c r="D89" s="71">
        <v>2.23</v>
      </c>
      <c r="E89" s="72" t="s">
        <v>47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30.0" customHeight="1">
      <c r="A91" s="5"/>
      <c r="B91" s="5"/>
      <c r="C91" s="73" t="s">
        <v>48</v>
      </c>
      <c r="D91" s="62"/>
      <c r="E91" s="62"/>
      <c r="F91" s="14"/>
      <c r="G91" s="74" t="str">
        <f>(H84*D88)+(H86*D89)</f>
        <v>#REF!</v>
      </c>
      <c r="H91" s="12"/>
      <c r="I91" s="69" t="s">
        <v>41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75" t="s">
        <v>49</v>
      </c>
      <c r="D93" s="76"/>
      <c r="E93" s="77"/>
      <c r="F93" s="78"/>
      <c r="G93" s="76"/>
      <c r="H93" s="76"/>
      <c r="I93" s="7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79"/>
      <c r="D94" s="65"/>
      <c r="E94" s="80"/>
      <c r="F94" s="79"/>
      <c r="G94" s="65"/>
      <c r="H94" s="65"/>
      <c r="I94" s="80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3.25" customHeight="1">
      <c r="A95" s="5"/>
      <c r="B95" s="5"/>
      <c r="C95" s="81" t="s">
        <v>50</v>
      </c>
      <c r="D95" s="15"/>
      <c r="E95" s="12"/>
      <c r="F95" s="82"/>
      <c r="G95" s="15"/>
      <c r="H95" s="15"/>
      <c r="I95" s="12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5:D5"/>
    <mergeCell ref="B7:M7"/>
    <mergeCell ref="C9:D9"/>
    <mergeCell ref="H9:I9"/>
    <mergeCell ref="J9:M9"/>
    <mergeCell ref="C10:D10"/>
    <mergeCell ref="H10:I10"/>
    <mergeCell ref="J10:M10"/>
    <mergeCell ref="B14:M14"/>
    <mergeCell ref="B16:B17"/>
    <mergeCell ref="C16:C17"/>
    <mergeCell ref="D16:E16"/>
    <mergeCell ref="H16:I16"/>
    <mergeCell ref="J16:K16"/>
    <mergeCell ref="F16:G16"/>
    <mergeCell ref="C77:G79"/>
    <mergeCell ref="I78:M78"/>
    <mergeCell ref="C80:G80"/>
    <mergeCell ref="C82:G82"/>
    <mergeCell ref="C84:G84"/>
    <mergeCell ref="C86:G86"/>
    <mergeCell ref="C95:E95"/>
    <mergeCell ref="F95:I95"/>
    <mergeCell ref="C88:C89"/>
    <mergeCell ref="E88:I88"/>
    <mergeCell ref="E89:I89"/>
    <mergeCell ref="C91:F91"/>
    <mergeCell ref="G91:H91"/>
    <mergeCell ref="C93:E94"/>
    <mergeCell ref="F93:I94"/>
  </mergeCells>
  <dataValidations>
    <dataValidation type="decimal" allowBlank="1" showInputMessage="1" showErrorMessage="1" prompt="Ugyldigt tal - Tallet på kilometertælleren skal være mellem 0 and 999.999,9" sqref="J18:K25 J27:K27">
      <formula1>0.0</formula1>
      <formula2>999999.9</formula2>
    </dataValidation>
  </dataValidations>
  <hyperlinks>
    <hyperlink r:id="rId1" ref="A13"/>
  </hyperlinks>
  <printOptions/>
  <pageMargins bottom="0.75" footer="0.0" header="0.0" left="0.7" right="0.7" top="0.75"/>
  <pageSetup orientation="landscape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0.13"/>
    <col customWidth="1" min="3" max="3" width="62.25"/>
    <col customWidth="1" min="4" max="4" width="12.25"/>
    <col customWidth="1" min="5" max="5" width="12.38"/>
    <col customWidth="1" min="6" max="6" width="20.88"/>
    <col customWidth="1" min="7" max="7" width="11.25"/>
    <col customWidth="1" min="8" max="8" width="19.38"/>
    <col customWidth="1" min="9" max="9" width="11.63"/>
    <col customWidth="1" min="10" max="10" width="13.38"/>
    <col customWidth="1" min="11" max="11" width="14.13"/>
    <col customWidth="1" min="12" max="13" width="14.5"/>
    <col customWidth="1" min="14" max="14" width="19.5"/>
    <col customWidth="1" min="15" max="26" width="8.75"/>
  </cols>
  <sheetData>
    <row r="1" ht="12.75" customHeight="1">
      <c r="A1" s="5"/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9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8"/>
      <c r="B9" s="10" t="s">
        <v>4</v>
      </c>
      <c r="C9" s="88">
        <v>45636.0</v>
      </c>
      <c r="D9" s="12"/>
      <c r="E9" s="9"/>
      <c r="F9" s="9"/>
      <c r="G9" s="9"/>
      <c r="H9" s="13" t="s">
        <v>6</v>
      </c>
      <c r="I9" s="14"/>
      <c r="J9" s="11" t="s">
        <v>7</v>
      </c>
      <c r="K9" s="15"/>
      <c r="L9" s="15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8"/>
      <c r="B10" s="16" t="s">
        <v>8</v>
      </c>
      <c r="C10" s="101" t="s">
        <v>63</v>
      </c>
      <c r="D10" s="12"/>
      <c r="E10" s="9"/>
      <c r="F10" s="9"/>
      <c r="G10" s="9"/>
      <c r="H10" s="13" t="s">
        <v>10</v>
      </c>
      <c r="I10" s="14"/>
      <c r="J10" s="17" t="s">
        <v>11</v>
      </c>
      <c r="K10" s="18"/>
      <c r="L10" s="18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20" t="s">
        <v>12</v>
      </c>
      <c r="K11" s="21">
        <f>SUM(L18:L30)</f>
        <v>1040</v>
      </c>
      <c r="L11" s="9"/>
      <c r="M11" s="9"/>
      <c r="N11" s="100" t="s">
        <v>85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8"/>
      <c r="B12" s="9"/>
      <c r="C12" s="9"/>
      <c r="D12" s="9"/>
      <c r="E12" s="9"/>
      <c r="F12" s="9"/>
      <c r="G12" s="9"/>
      <c r="H12" s="9"/>
      <c r="I12" s="9"/>
      <c r="J12" s="20" t="s">
        <v>13</v>
      </c>
      <c r="K12" s="89">
        <v>3.79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90" t="s">
        <v>53</v>
      </c>
      <c r="B13" s="8"/>
      <c r="C13" s="8"/>
      <c r="D13" s="8"/>
      <c r="E13" s="5"/>
      <c r="F13" s="5"/>
      <c r="G13" s="5"/>
      <c r="H13" s="5"/>
      <c r="I13" s="5"/>
      <c r="J13" s="20" t="s">
        <v>15</v>
      </c>
      <c r="K13" s="22">
        <f>SUM(K11*K12)</f>
        <v>3941.6</v>
      </c>
      <c r="L13" s="10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24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27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5.25" customHeight="1">
      <c r="A16" s="5"/>
      <c r="B16" s="29" t="s">
        <v>17</v>
      </c>
      <c r="C16" s="30" t="s">
        <v>18</v>
      </c>
      <c r="D16" s="31" t="s">
        <v>19</v>
      </c>
      <c r="E16" s="26"/>
      <c r="F16" s="31" t="s">
        <v>20</v>
      </c>
      <c r="G16" s="26"/>
      <c r="H16" s="31" t="s">
        <v>21</v>
      </c>
      <c r="I16" s="26"/>
      <c r="J16" s="31" t="s">
        <v>22</v>
      </c>
      <c r="K16" s="26"/>
      <c r="L16" s="104"/>
      <c r="M16" s="10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32"/>
      <c r="C17" s="32"/>
      <c r="D17" s="33" t="s">
        <v>24</v>
      </c>
      <c r="E17" s="33" t="s">
        <v>25</v>
      </c>
      <c r="F17" s="33" t="s">
        <v>26</v>
      </c>
      <c r="G17" s="33" t="s">
        <v>27</v>
      </c>
      <c r="H17" s="33" t="s">
        <v>26</v>
      </c>
      <c r="I17" s="33" t="s">
        <v>27</v>
      </c>
      <c r="J17" s="33" t="s">
        <v>28</v>
      </c>
      <c r="K17" s="33" t="s">
        <v>29</v>
      </c>
      <c r="L17" s="105" t="s">
        <v>24</v>
      </c>
      <c r="M17" s="33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5"/>
      <c r="B18" s="102">
        <v>45628.0</v>
      </c>
      <c r="C18" s="93" t="s">
        <v>92</v>
      </c>
      <c r="D18" s="94">
        <v>1.0</v>
      </c>
      <c r="E18" s="47"/>
      <c r="F18" s="1" t="s">
        <v>31</v>
      </c>
      <c r="G18" s="44">
        <v>2791.0</v>
      </c>
      <c r="H18" s="95" t="s">
        <v>99</v>
      </c>
      <c r="I18" s="108">
        <v>2730.0</v>
      </c>
      <c r="J18" s="96">
        <v>40.0</v>
      </c>
      <c r="K18" s="97">
        <v>40.0</v>
      </c>
      <c r="L18" s="106">
        <f t="shared" ref="L18:L25" si="1">SUM(J18:K18)</f>
        <v>80</v>
      </c>
      <c r="M18" s="4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5"/>
      <c r="B19" s="102">
        <v>45629.0</v>
      </c>
      <c r="C19" s="93" t="s">
        <v>92</v>
      </c>
      <c r="D19" s="94">
        <v>1.0</v>
      </c>
      <c r="E19" s="47"/>
      <c r="F19" s="1" t="s">
        <v>31</v>
      </c>
      <c r="G19" s="44">
        <v>2791.0</v>
      </c>
      <c r="H19" s="95" t="s">
        <v>99</v>
      </c>
      <c r="I19" s="108">
        <v>2730.0</v>
      </c>
      <c r="J19" s="96">
        <v>40.0</v>
      </c>
      <c r="K19" s="97">
        <v>40.0</v>
      </c>
      <c r="L19" s="106">
        <f t="shared" si="1"/>
        <v>80</v>
      </c>
      <c r="M19" s="4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102">
        <v>45632.0</v>
      </c>
      <c r="C20" s="93" t="s">
        <v>92</v>
      </c>
      <c r="D20" s="94">
        <v>1.0</v>
      </c>
      <c r="E20" s="47"/>
      <c r="F20" s="1" t="s">
        <v>31</v>
      </c>
      <c r="G20" s="44">
        <v>2791.0</v>
      </c>
      <c r="H20" s="95" t="s">
        <v>99</v>
      </c>
      <c r="I20" s="108">
        <v>2730.0</v>
      </c>
      <c r="J20" s="96">
        <v>40.0</v>
      </c>
      <c r="K20" s="97">
        <v>40.0</v>
      </c>
      <c r="L20" s="106">
        <f t="shared" si="1"/>
        <v>80</v>
      </c>
      <c r="M20" s="4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102">
        <v>45635.0</v>
      </c>
      <c r="C21" s="93" t="s">
        <v>92</v>
      </c>
      <c r="D21" s="94">
        <v>1.0</v>
      </c>
      <c r="E21" s="47"/>
      <c r="F21" s="1" t="s">
        <v>31</v>
      </c>
      <c r="G21" s="44">
        <v>2791.0</v>
      </c>
      <c r="H21" s="95" t="s">
        <v>99</v>
      </c>
      <c r="I21" s="108">
        <v>2730.0</v>
      </c>
      <c r="J21" s="96">
        <v>40.0</v>
      </c>
      <c r="K21" s="97">
        <v>40.0</v>
      </c>
      <c r="L21" s="106">
        <f t="shared" si="1"/>
        <v>80</v>
      </c>
      <c r="M21" s="4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102">
        <v>45637.0</v>
      </c>
      <c r="C22" s="93" t="s">
        <v>92</v>
      </c>
      <c r="D22" s="94">
        <v>1.0</v>
      </c>
      <c r="E22" s="47"/>
      <c r="F22" s="1" t="s">
        <v>31</v>
      </c>
      <c r="G22" s="44">
        <v>2791.0</v>
      </c>
      <c r="H22" s="95" t="s">
        <v>99</v>
      </c>
      <c r="I22" s="108">
        <v>2730.0</v>
      </c>
      <c r="J22" s="96">
        <v>40.0</v>
      </c>
      <c r="K22" s="97">
        <v>40.0</v>
      </c>
      <c r="L22" s="106">
        <f t="shared" si="1"/>
        <v>80</v>
      </c>
      <c r="M22" s="4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102">
        <v>45638.0</v>
      </c>
      <c r="C23" s="93" t="s">
        <v>92</v>
      </c>
      <c r="D23" s="94">
        <v>1.0</v>
      </c>
      <c r="E23" s="47"/>
      <c r="F23" s="1" t="s">
        <v>31</v>
      </c>
      <c r="G23" s="44">
        <v>2791.0</v>
      </c>
      <c r="H23" s="95" t="s">
        <v>99</v>
      </c>
      <c r="I23" s="108">
        <v>2730.0</v>
      </c>
      <c r="J23" s="96">
        <v>40.0</v>
      </c>
      <c r="K23" s="97">
        <v>40.0</v>
      </c>
      <c r="L23" s="106">
        <f t="shared" si="1"/>
        <v>80</v>
      </c>
      <c r="M23" s="4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102">
        <v>45639.0</v>
      </c>
      <c r="C24" s="93" t="s">
        <v>92</v>
      </c>
      <c r="D24" s="94">
        <v>1.0</v>
      </c>
      <c r="E24" s="47"/>
      <c r="F24" s="1" t="s">
        <v>31</v>
      </c>
      <c r="G24" s="44">
        <v>2791.0</v>
      </c>
      <c r="H24" s="95" t="s">
        <v>99</v>
      </c>
      <c r="I24" s="108">
        <v>2730.0</v>
      </c>
      <c r="J24" s="96">
        <v>40.0</v>
      </c>
      <c r="K24" s="97">
        <v>40.0</v>
      </c>
      <c r="L24" s="106">
        <f t="shared" si="1"/>
        <v>80</v>
      </c>
      <c r="M24" s="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102">
        <v>45640.0</v>
      </c>
      <c r="C25" s="93" t="s">
        <v>100</v>
      </c>
      <c r="D25" s="94">
        <v>1.0</v>
      </c>
      <c r="E25" s="47"/>
      <c r="F25" s="1" t="s">
        <v>31</v>
      </c>
      <c r="G25" s="44">
        <v>2791.0</v>
      </c>
      <c r="H25" s="95" t="s">
        <v>101</v>
      </c>
      <c r="I25" s="108">
        <v>6000.0</v>
      </c>
      <c r="J25" s="96">
        <v>240.0</v>
      </c>
      <c r="K25" s="96">
        <v>240.0</v>
      </c>
      <c r="L25" s="106">
        <f t="shared" si="1"/>
        <v>480</v>
      </c>
      <c r="M25" s="4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34"/>
      <c r="C27" s="35"/>
      <c r="D27" s="36"/>
      <c r="E27" s="47"/>
      <c r="G27" s="44"/>
      <c r="H27" s="39"/>
      <c r="I27" s="44"/>
      <c r="J27" s="41"/>
      <c r="K27" s="42"/>
      <c r="L27" s="106"/>
      <c r="M27" s="4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34"/>
      <c r="C28" s="35"/>
      <c r="D28" s="47"/>
      <c r="E28" s="47"/>
      <c r="F28" s="39"/>
      <c r="G28" s="44"/>
      <c r="H28" s="47"/>
      <c r="I28" s="44"/>
      <c r="J28" s="43"/>
      <c r="K28" s="43"/>
      <c r="L28" s="43"/>
      <c r="M28" s="4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34"/>
      <c r="C29" s="35"/>
      <c r="D29" s="47"/>
      <c r="E29" s="47"/>
      <c r="F29" s="39"/>
      <c r="G29" s="44"/>
      <c r="H29" s="47"/>
      <c r="I29" s="44"/>
      <c r="J29" s="43"/>
      <c r="K29" s="43"/>
      <c r="L29" s="43"/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34"/>
      <c r="C30" s="35"/>
      <c r="D30" s="47"/>
      <c r="E30" s="47"/>
      <c r="F30" s="39"/>
      <c r="G30" s="44"/>
      <c r="H30" s="47"/>
      <c r="I30" s="44"/>
      <c r="J30" s="43"/>
      <c r="K30" s="43"/>
      <c r="L30" s="43"/>
      <c r="M30" s="4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34"/>
      <c r="C31" s="35"/>
      <c r="D31" s="47"/>
      <c r="E31" s="47"/>
      <c r="F31" s="39"/>
      <c r="G31" s="44"/>
      <c r="H31" s="47"/>
      <c r="I31" s="44"/>
      <c r="J31" s="43"/>
      <c r="K31" s="43"/>
      <c r="L31" s="43"/>
      <c r="M31" s="4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34"/>
      <c r="C32" s="35"/>
      <c r="D32" s="47"/>
      <c r="E32" s="47"/>
      <c r="F32" s="39"/>
      <c r="G32" s="44"/>
      <c r="H32" s="47"/>
      <c r="I32" s="44"/>
      <c r="J32" s="43"/>
      <c r="K32" s="43"/>
      <c r="L32" s="43"/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34"/>
      <c r="C33" s="35"/>
      <c r="D33" s="47"/>
      <c r="E33" s="47"/>
      <c r="F33" s="39"/>
      <c r="G33" s="44"/>
      <c r="H33" s="47"/>
      <c r="I33" s="44"/>
      <c r="J33" s="43"/>
      <c r="K33" s="43"/>
      <c r="L33" s="43"/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34"/>
      <c r="C34" s="35"/>
      <c r="D34" s="47"/>
      <c r="E34" s="47"/>
      <c r="F34" s="39"/>
      <c r="G34" s="44"/>
      <c r="H34" s="47"/>
      <c r="I34" s="44"/>
      <c r="J34" s="43"/>
      <c r="K34" s="43"/>
      <c r="L34" s="43"/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34"/>
      <c r="C35" s="35"/>
      <c r="D35" s="47"/>
      <c r="E35" s="47"/>
      <c r="F35" s="39"/>
      <c r="G35" s="44"/>
      <c r="H35" s="47"/>
      <c r="I35" s="44"/>
      <c r="J35" s="43"/>
      <c r="K35" s="43"/>
      <c r="L35" s="43"/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34"/>
      <c r="C36" s="35"/>
      <c r="D36" s="47"/>
      <c r="E36" s="47"/>
      <c r="F36" s="39"/>
      <c r="G36" s="44"/>
      <c r="H36" s="47"/>
      <c r="I36" s="44"/>
      <c r="J36" s="43"/>
      <c r="K36" s="43"/>
      <c r="L36" s="43"/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34"/>
      <c r="C37" s="35"/>
      <c r="D37" s="47"/>
      <c r="E37" s="47"/>
      <c r="F37" s="39"/>
      <c r="G37" s="44"/>
      <c r="H37" s="47"/>
      <c r="I37" s="44"/>
      <c r="J37" s="43"/>
      <c r="K37" s="43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34"/>
      <c r="C38" s="35"/>
      <c r="D38" s="47"/>
      <c r="E38" s="47"/>
      <c r="F38" s="39"/>
      <c r="G38" s="44"/>
      <c r="H38" s="47"/>
      <c r="I38" s="44"/>
      <c r="J38" s="43"/>
      <c r="K38" s="43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34"/>
      <c r="C39" s="35"/>
      <c r="D39" s="47"/>
      <c r="E39" s="47"/>
      <c r="F39" s="39"/>
      <c r="G39" s="44"/>
      <c r="H39" s="47"/>
      <c r="I39" s="44"/>
      <c r="J39" s="43"/>
      <c r="K39" s="43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34"/>
      <c r="C40" s="35"/>
      <c r="D40" s="47"/>
      <c r="E40" s="47"/>
      <c r="F40" s="39"/>
      <c r="G40" s="44"/>
      <c r="H40" s="47"/>
      <c r="I40" s="44"/>
      <c r="J40" s="43"/>
      <c r="K40" s="43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34"/>
      <c r="C41" s="35"/>
      <c r="D41" s="47"/>
      <c r="E41" s="47"/>
      <c r="F41" s="39"/>
      <c r="G41" s="44"/>
      <c r="H41" s="47"/>
      <c r="I41" s="44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34"/>
      <c r="C42" s="35"/>
      <c r="D42" s="47"/>
      <c r="E42" s="47"/>
      <c r="F42" s="39"/>
      <c r="G42" s="44"/>
      <c r="H42" s="47"/>
      <c r="I42" s="44"/>
      <c r="J42" s="43"/>
      <c r="K42" s="43"/>
      <c r="L42" s="43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34"/>
      <c r="C43" s="35"/>
      <c r="D43" s="47"/>
      <c r="E43" s="47"/>
      <c r="F43" s="39"/>
      <c r="G43" s="44"/>
      <c r="H43" s="47"/>
      <c r="I43" s="44"/>
      <c r="J43" s="43"/>
      <c r="K43" s="43"/>
      <c r="L43" s="43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34"/>
      <c r="C44" s="53"/>
      <c r="D44" s="54"/>
      <c r="E44" s="54"/>
      <c r="F44" s="39"/>
      <c r="G44" s="44"/>
      <c r="H44" s="54"/>
      <c r="I44" s="44"/>
      <c r="J44" s="55"/>
      <c r="K44" s="55"/>
      <c r="L44" s="107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34"/>
      <c r="C45" s="35"/>
      <c r="D45" s="47"/>
      <c r="E45" s="47"/>
      <c r="F45" s="39"/>
      <c r="G45" s="44"/>
      <c r="H45" s="47"/>
      <c r="I45" s="44"/>
      <c r="J45" s="43"/>
      <c r="K45" s="43"/>
      <c r="L45" s="43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34"/>
      <c r="C46" s="35"/>
      <c r="D46" s="47"/>
      <c r="E46" s="47"/>
      <c r="F46" s="39"/>
      <c r="G46" s="44"/>
      <c r="H46" s="47"/>
      <c r="I46" s="44"/>
      <c r="J46" s="43"/>
      <c r="K46" s="43"/>
      <c r="L46" s="43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34"/>
      <c r="C47" s="35"/>
      <c r="D47" s="47"/>
      <c r="E47" s="47"/>
      <c r="F47" s="39"/>
      <c r="G47" s="44"/>
      <c r="H47" s="47"/>
      <c r="I47" s="44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34"/>
      <c r="C48" s="35"/>
      <c r="D48" s="47"/>
      <c r="E48" s="47"/>
      <c r="F48" s="39"/>
      <c r="G48" s="44"/>
      <c r="H48" s="47"/>
      <c r="I48" s="44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34"/>
      <c r="C49" s="35"/>
      <c r="D49" s="47"/>
      <c r="E49" s="47"/>
      <c r="F49" s="39"/>
      <c r="G49" s="44"/>
      <c r="H49" s="47"/>
      <c r="I49" s="44"/>
      <c r="J49" s="43"/>
      <c r="K49" s="43"/>
      <c r="L49" s="43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34"/>
      <c r="C50" s="35"/>
      <c r="D50" s="47"/>
      <c r="E50" s="47"/>
      <c r="F50" s="39"/>
      <c r="G50" s="44"/>
      <c r="H50" s="47"/>
      <c r="I50" s="44"/>
      <c r="J50" s="43"/>
      <c r="K50" s="43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34"/>
      <c r="C51" s="35"/>
      <c r="D51" s="47"/>
      <c r="E51" s="47"/>
      <c r="F51" s="39"/>
      <c r="G51" s="44"/>
      <c r="H51" s="47"/>
      <c r="I51" s="44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34"/>
      <c r="C52" s="35"/>
      <c r="D52" s="47"/>
      <c r="E52" s="47"/>
      <c r="F52" s="39"/>
      <c r="G52" s="44"/>
      <c r="H52" s="47"/>
      <c r="I52" s="44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34"/>
      <c r="C53" s="35"/>
      <c r="D53" s="47"/>
      <c r="E53" s="47"/>
      <c r="F53" s="39"/>
      <c r="G53" s="44"/>
      <c r="H53" s="47"/>
      <c r="I53" s="44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34"/>
      <c r="C54" s="35"/>
      <c r="D54" s="47"/>
      <c r="E54" s="47"/>
      <c r="F54" s="39"/>
      <c r="G54" s="44"/>
      <c r="H54" s="47"/>
      <c r="I54" s="44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34"/>
      <c r="C55" s="35"/>
      <c r="D55" s="47"/>
      <c r="E55" s="47"/>
      <c r="F55" s="39"/>
      <c r="G55" s="44"/>
      <c r="H55" s="47"/>
      <c r="I55" s="44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34"/>
      <c r="C56" s="35"/>
      <c r="D56" s="47"/>
      <c r="E56" s="47"/>
      <c r="F56" s="39"/>
      <c r="G56" s="44"/>
      <c r="H56" s="47"/>
      <c r="I56" s="44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34"/>
      <c r="C57" s="35"/>
      <c r="D57" s="47"/>
      <c r="E57" s="47"/>
      <c r="F57" s="39"/>
      <c r="G57" s="44"/>
      <c r="H57" s="47"/>
      <c r="I57" s="44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34"/>
      <c r="C58" s="35"/>
      <c r="D58" s="47"/>
      <c r="E58" s="47"/>
      <c r="F58" s="39"/>
      <c r="G58" s="44"/>
      <c r="H58" s="47"/>
      <c r="I58" s="44"/>
      <c r="J58" s="43"/>
      <c r="K58" s="43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34"/>
      <c r="C59" s="35"/>
      <c r="D59" s="47"/>
      <c r="E59" s="47"/>
      <c r="F59" s="39"/>
      <c r="G59" s="44"/>
      <c r="H59" s="47"/>
      <c r="I59" s="44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34"/>
      <c r="C60" s="35"/>
      <c r="D60" s="47"/>
      <c r="E60" s="47"/>
      <c r="F60" s="39"/>
      <c r="G60" s="44"/>
      <c r="H60" s="47"/>
      <c r="I60" s="44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34"/>
      <c r="C61" s="35"/>
      <c r="D61" s="47"/>
      <c r="E61" s="47"/>
      <c r="F61" s="39"/>
      <c r="G61" s="44"/>
      <c r="H61" s="47"/>
      <c r="I61" s="44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34"/>
      <c r="C62" s="35"/>
      <c r="D62" s="47"/>
      <c r="E62" s="47"/>
      <c r="F62" s="39"/>
      <c r="G62" s="44"/>
      <c r="H62" s="47"/>
      <c r="I62" s="44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34"/>
      <c r="C63" s="35"/>
      <c r="D63" s="47"/>
      <c r="E63" s="47"/>
      <c r="F63" s="39"/>
      <c r="G63" s="44"/>
      <c r="H63" s="47"/>
      <c r="I63" s="44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34"/>
      <c r="C64" s="35"/>
      <c r="D64" s="47"/>
      <c r="E64" s="47"/>
      <c r="F64" s="39"/>
      <c r="G64" s="44"/>
      <c r="H64" s="47"/>
      <c r="I64" s="44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34"/>
      <c r="C65" s="35"/>
      <c r="D65" s="47"/>
      <c r="E65" s="47"/>
      <c r="F65" s="39"/>
      <c r="G65" s="44"/>
      <c r="H65" s="47"/>
      <c r="I65" s="44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34"/>
      <c r="C66" s="35"/>
      <c r="D66" s="47"/>
      <c r="E66" s="47"/>
      <c r="F66" s="39"/>
      <c r="G66" s="44"/>
      <c r="H66" s="47"/>
      <c r="I66" s="44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34"/>
      <c r="C67" s="35"/>
      <c r="D67" s="47"/>
      <c r="E67" s="47"/>
      <c r="F67" s="39"/>
      <c r="G67" s="44"/>
      <c r="H67" s="47"/>
      <c r="I67" s="44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34"/>
      <c r="C68" s="35"/>
      <c r="D68" s="47"/>
      <c r="E68" s="47"/>
      <c r="F68" s="39"/>
      <c r="G68" s="44"/>
      <c r="H68" s="47"/>
      <c r="I68" s="44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34"/>
      <c r="C69" s="35"/>
      <c r="D69" s="47"/>
      <c r="E69" s="47"/>
      <c r="F69" s="39"/>
      <c r="G69" s="44"/>
      <c r="H69" s="47"/>
      <c r="I69" s="44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34"/>
      <c r="C70" s="35"/>
      <c r="D70" s="47"/>
      <c r="E70" s="47"/>
      <c r="F70" s="39"/>
      <c r="G70" s="44"/>
      <c r="H70" s="47"/>
      <c r="I70" s="44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34"/>
      <c r="C71" s="35"/>
      <c r="D71" s="47"/>
      <c r="E71" s="47"/>
      <c r="F71" s="39"/>
      <c r="G71" s="44"/>
      <c r="H71" s="47"/>
      <c r="I71" s="44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34"/>
      <c r="C72" s="35"/>
      <c r="D72" s="47"/>
      <c r="E72" s="47"/>
      <c r="F72" s="39"/>
      <c r="G72" s="44"/>
      <c r="H72" s="47"/>
      <c r="I72" s="44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34"/>
      <c r="C73" s="35"/>
      <c r="D73" s="47"/>
      <c r="E73" s="47"/>
      <c r="F73" s="39"/>
      <c r="G73" s="44"/>
      <c r="H73" s="47"/>
      <c r="I73" s="44"/>
      <c r="J73" s="43"/>
      <c r="K73" s="43"/>
      <c r="L73" s="43"/>
      <c r="M73" s="4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34"/>
      <c r="C74" s="35"/>
      <c r="D74" s="47"/>
      <c r="E74" s="47"/>
      <c r="F74" s="39"/>
      <c r="G74" s="44"/>
      <c r="H74" s="47"/>
      <c r="I74" s="44"/>
      <c r="J74" s="43"/>
      <c r="K74" s="43"/>
      <c r="L74" s="43"/>
      <c r="M74" s="43">
        <f t="shared" ref="M74:M75" si="2">(K74-J74)*E74</f>
        <v>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34"/>
      <c r="C75" s="35"/>
      <c r="D75" s="47"/>
      <c r="E75" s="47"/>
      <c r="F75" s="39"/>
      <c r="G75" s="44"/>
      <c r="H75" s="47"/>
      <c r="I75" s="44"/>
      <c r="J75" s="43"/>
      <c r="K75" s="43"/>
      <c r="L75" s="43"/>
      <c r="M75" s="43">
        <f t="shared" si="2"/>
        <v>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6" t="s">
        <v>38</v>
      </c>
      <c r="D77" s="57"/>
      <c r="E77" s="57"/>
      <c r="F77" s="57"/>
      <c r="G77" s="5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9"/>
      <c r="G78" s="60"/>
      <c r="H78" s="43">
        <v>0.0</v>
      </c>
      <c r="I78" s="61" t="s">
        <v>39</v>
      </c>
      <c r="J78" s="62"/>
      <c r="K78" s="62"/>
      <c r="L78" s="62"/>
      <c r="M78" s="63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64"/>
      <c r="D79" s="65"/>
      <c r="E79" s="65"/>
      <c r="F79" s="65"/>
      <c r="G79" s="66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5"/>
      <c r="B80" s="5"/>
      <c r="C80" s="67" t="s">
        <v>40</v>
      </c>
      <c r="D80" s="62"/>
      <c r="E80" s="62"/>
      <c r="F80" s="62"/>
      <c r="G80" s="14"/>
      <c r="H80" s="68" t="str">
        <f>SUM(#REF!)</f>
        <v>#REF!</v>
      </c>
      <c r="I80" s="69" t="s">
        <v>41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9.5" customHeight="1">
      <c r="A82" s="5"/>
      <c r="B82" s="5"/>
      <c r="C82" s="67" t="s">
        <v>42</v>
      </c>
      <c r="D82" s="62"/>
      <c r="E82" s="62"/>
      <c r="F82" s="62"/>
      <c r="G82" s="63"/>
      <c r="H82" s="68" t="str">
        <f>H78+H80</f>
        <v>#REF!</v>
      </c>
      <c r="I82" s="69" t="s">
        <v>41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75" customHeight="1">
      <c r="A84" s="5"/>
      <c r="B84" s="5"/>
      <c r="C84" s="67" t="s">
        <v>43</v>
      </c>
      <c r="D84" s="62"/>
      <c r="E84" s="62"/>
      <c r="F84" s="62"/>
      <c r="G84" s="63"/>
      <c r="H84" s="68" t="str">
        <f>IF(H82&lt;=20000,H80,IF(H78&gt;20000,0,20000-H78))</f>
        <v>#REF!</v>
      </c>
      <c r="I84" s="69" t="s">
        <v>41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5"/>
      <c r="C86" s="67" t="s">
        <v>44</v>
      </c>
      <c r="D86" s="62"/>
      <c r="E86" s="62"/>
      <c r="F86" s="62"/>
      <c r="G86" s="14"/>
      <c r="H86" s="68" t="str">
        <f>IF(H82&gt;20000,H82-H78-H84,0)</f>
        <v>#REF!</v>
      </c>
      <c r="I86" s="69" t="s">
        <v>41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7.25" customHeight="1">
      <c r="A88" s="5"/>
      <c r="B88" s="5"/>
      <c r="C88" s="70" t="s">
        <v>45</v>
      </c>
      <c r="D88" s="71">
        <v>3.79</v>
      </c>
      <c r="E88" s="72" t="s">
        <v>46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5"/>
      <c r="B89" s="5"/>
      <c r="C89" s="32"/>
      <c r="D89" s="71">
        <v>2.23</v>
      </c>
      <c r="E89" s="72" t="s">
        <v>47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30.0" customHeight="1">
      <c r="A91" s="5"/>
      <c r="B91" s="5"/>
      <c r="C91" s="73" t="s">
        <v>48</v>
      </c>
      <c r="D91" s="62"/>
      <c r="E91" s="62"/>
      <c r="F91" s="14"/>
      <c r="G91" s="74" t="str">
        <f>(H84*D88)+(H86*D89)</f>
        <v>#REF!</v>
      </c>
      <c r="H91" s="12"/>
      <c r="I91" s="69" t="s">
        <v>41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75" t="s">
        <v>49</v>
      </c>
      <c r="D93" s="76"/>
      <c r="E93" s="77"/>
      <c r="F93" s="78"/>
      <c r="G93" s="76"/>
      <c r="H93" s="76"/>
      <c r="I93" s="7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79"/>
      <c r="D94" s="65"/>
      <c r="E94" s="80"/>
      <c r="F94" s="79"/>
      <c r="G94" s="65"/>
      <c r="H94" s="65"/>
      <c r="I94" s="80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3.25" customHeight="1">
      <c r="A95" s="5"/>
      <c r="B95" s="5"/>
      <c r="C95" s="81" t="s">
        <v>50</v>
      </c>
      <c r="D95" s="15"/>
      <c r="E95" s="12"/>
      <c r="F95" s="82"/>
      <c r="G95" s="15"/>
      <c r="H95" s="15"/>
      <c r="I95" s="12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5:D5"/>
    <mergeCell ref="B7:M7"/>
    <mergeCell ref="C9:D9"/>
    <mergeCell ref="H9:I9"/>
    <mergeCell ref="J9:M9"/>
    <mergeCell ref="C10:D10"/>
    <mergeCell ref="H10:I10"/>
    <mergeCell ref="J10:M10"/>
    <mergeCell ref="B14:M14"/>
    <mergeCell ref="B16:B17"/>
    <mergeCell ref="C16:C17"/>
    <mergeCell ref="D16:E16"/>
    <mergeCell ref="H16:I16"/>
    <mergeCell ref="J16:K16"/>
    <mergeCell ref="F16:G16"/>
    <mergeCell ref="C77:G79"/>
    <mergeCell ref="I78:M78"/>
    <mergeCell ref="C80:G80"/>
    <mergeCell ref="C82:G82"/>
    <mergeCell ref="C84:G84"/>
    <mergeCell ref="C86:G86"/>
    <mergeCell ref="C95:E95"/>
    <mergeCell ref="F95:I95"/>
    <mergeCell ref="C88:C89"/>
    <mergeCell ref="E88:I88"/>
    <mergeCell ref="E89:I89"/>
    <mergeCell ref="C91:F91"/>
    <mergeCell ref="G91:H91"/>
    <mergeCell ref="C93:E94"/>
    <mergeCell ref="F93:I94"/>
  </mergeCells>
  <dataValidations>
    <dataValidation type="decimal" allowBlank="1" showInputMessage="1" showErrorMessage="1" prompt="Ugyldigt tal - Tallet på kilometertælleren skal være mellem 0 and 999.999,9" sqref="J18:K25 J27:K27">
      <formula1>0.0</formula1>
      <formula2>999999.9</formula2>
    </dataValidation>
  </dataValidations>
  <hyperlinks>
    <hyperlink r:id="rId1" ref="A13"/>
  </hyperlinks>
  <printOptions/>
  <pageMargins bottom="0.75" footer="0.0" header="0.0" left="0.7" right="0.7" top="0.75"/>
  <pageSetup orientation="landscape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0.13"/>
    <col customWidth="1" min="3" max="3" width="62.25"/>
    <col customWidth="1" min="4" max="4" width="12.25"/>
    <col customWidth="1" min="5" max="5" width="12.38"/>
    <col customWidth="1" min="6" max="6" width="20.88"/>
    <col customWidth="1" min="7" max="7" width="11.25"/>
    <col customWidth="1" min="8" max="8" width="19.38"/>
    <col customWidth="1" min="9" max="9" width="11.63"/>
    <col customWidth="1" min="10" max="10" width="13.38"/>
    <col customWidth="1" min="11" max="11" width="14.13"/>
    <col customWidth="1" min="12" max="13" width="14.5"/>
    <col customWidth="1" min="14" max="14" width="19.5"/>
    <col customWidth="1" min="15" max="26" width="8.75"/>
  </cols>
  <sheetData>
    <row r="1" ht="12.75" customHeight="1">
      <c r="A1" s="5"/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9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8"/>
      <c r="B9" s="10" t="s">
        <v>4</v>
      </c>
      <c r="C9" s="88">
        <v>45658.0</v>
      </c>
      <c r="D9" s="12"/>
      <c r="E9" s="9"/>
      <c r="F9" s="9"/>
      <c r="G9" s="9"/>
      <c r="H9" s="13" t="s">
        <v>6</v>
      </c>
      <c r="I9" s="14"/>
      <c r="J9" s="11" t="s">
        <v>7</v>
      </c>
      <c r="K9" s="15"/>
      <c r="L9" s="15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8"/>
      <c r="B10" s="16" t="s">
        <v>8</v>
      </c>
      <c r="C10" s="101" t="s">
        <v>63</v>
      </c>
      <c r="D10" s="12"/>
      <c r="E10" s="9"/>
      <c r="F10" s="9"/>
      <c r="G10" s="9"/>
      <c r="H10" s="13" t="s">
        <v>10</v>
      </c>
      <c r="I10" s="14"/>
      <c r="J10" s="17" t="s">
        <v>11</v>
      </c>
      <c r="K10" s="18"/>
      <c r="L10" s="18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20" t="s">
        <v>12</v>
      </c>
      <c r="K11" s="21">
        <f>SUM(L18:L35)</f>
        <v>748</v>
      </c>
      <c r="L11" s="9"/>
      <c r="M11" s="9"/>
      <c r="N11" s="100" t="s">
        <v>85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8"/>
      <c r="B12" s="9"/>
      <c r="C12" s="9"/>
      <c r="D12" s="9"/>
      <c r="E12" s="9"/>
      <c r="F12" s="9"/>
      <c r="G12" s="9"/>
      <c r="H12" s="9"/>
      <c r="I12" s="9"/>
      <c r="J12" s="20" t="s">
        <v>13</v>
      </c>
      <c r="K12" s="89">
        <v>3.81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90" t="s">
        <v>53</v>
      </c>
      <c r="B13" s="8"/>
      <c r="C13" s="8"/>
      <c r="D13" s="8"/>
      <c r="E13" s="5"/>
      <c r="F13" s="5"/>
      <c r="G13" s="5"/>
      <c r="H13" s="5"/>
      <c r="I13" s="5"/>
      <c r="J13" s="20" t="s">
        <v>15</v>
      </c>
      <c r="K13" s="22">
        <f>SUM(K11*K12)</f>
        <v>2849.88</v>
      </c>
      <c r="L13" s="10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24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27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5.25" customHeight="1">
      <c r="A16" s="5"/>
      <c r="B16" s="29" t="s">
        <v>17</v>
      </c>
      <c r="C16" s="30" t="s">
        <v>18</v>
      </c>
      <c r="D16" s="31" t="s">
        <v>19</v>
      </c>
      <c r="E16" s="26"/>
      <c r="F16" s="31" t="s">
        <v>20</v>
      </c>
      <c r="G16" s="26"/>
      <c r="H16" s="31" t="s">
        <v>21</v>
      </c>
      <c r="I16" s="26"/>
      <c r="J16" s="31" t="s">
        <v>22</v>
      </c>
      <c r="K16" s="26"/>
      <c r="L16" s="104"/>
      <c r="M16" s="10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32"/>
      <c r="C17" s="32"/>
      <c r="D17" s="33" t="s">
        <v>24</v>
      </c>
      <c r="E17" s="33" t="s">
        <v>25</v>
      </c>
      <c r="F17" s="33" t="s">
        <v>26</v>
      </c>
      <c r="G17" s="33" t="s">
        <v>27</v>
      </c>
      <c r="H17" s="33" t="s">
        <v>26</v>
      </c>
      <c r="I17" s="33" t="s">
        <v>27</v>
      </c>
      <c r="J17" s="33" t="s">
        <v>28</v>
      </c>
      <c r="K17" s="33" t="s">
        <v>29</v>
      </c>
      <c r="L17" s="105" t="s">
        <v>24</v>
      </c>
      <c r="M17" s="33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5"/>
      <c r="B18" s="102">
        <v>45665.0</v>
      </c>
      <c r="C18" s="125" t="s">
        <v>102</v>
      </c>
      <c r="D18" s="126">
        <v>1.0</v>
      </c>
      <c r="E18" s="127"/>
      <c r="F18" s="1" t="s">
        <v>31</v>
      </c>
      <c r="G18" s="44">
        <v>2791.0</v>
      </c>
      <c r="H18" s="1" t="s">
        <v>103</v>
      </c>
      <c r="I18" s="108">
        <v>1434.0</v>
      </c>
      <c r="J18" s="128">
        <v>19.0</v>
      </c>
      <c r="K18" s="129">
        <v>19.0</v>
      </c>
      <c r="L18" s="106">
        <f t="shared" ref="L18:L32" si="1">SUM(J18:K18)</f>
        <v>38</v>
      </c>
      <c r="M18" s="130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5"/>
      <c r="B19" s="102">
        <v>45666.0</v>
      </c>
      <c r="C19" s="125" t="s">
        <v>102</v>
      </c>
      <c r="D19" s="126">
        <v>1.0</v>
      </c>
      <c r="E19" s="127"/>
      <c r="F19" s="1" t="s">
        <v>31</v>
      </c>
      <c r="G19" s="44">
        <v>2791.0</v>
      </c>
      <c r="H19" s="1" t="s">
        <v>103</v>
      </c>
      <c r="I19" s="108">
        <v>1434.0</v>
      </c>
      <c r="J19" s="128">
        <v>19.0</v>
      </c>
      <c r="K19" s="129">
        <v>19.0</v>
      </c>
      <c r="L19" s="106">
        <f t="shared" si="1"/>
        <v>38</v>
      </c>
      <c r="M19" s="130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1.25" customHeight="1">
      <c r="A20" s="5"/>
      <c r="B20" s="102">
        <v>45664.0</v>
      </c>
      <c r="C20" s="125" t="s">
        <v>104</v>
      </c>
      <c r="D20" s="126">
        <v>1.0</v>
      </c>
      <c r="E20" s="127"/>
      <c r="F20" s="1" t="s">
        <v>31</v>
      </c>
      <c r="G20" s="44">
        <v>2791.0</v>
      </c>
      <c r="H20" s="1" t="s">
        <v>105</v>
      </c>
      <c r="I20" s="108">
        <v>1066.0</v>
      </c>
      <c r="J20" s="128">
        <v>17.0</v>
      </c>
      <c r="K20" s="129">
        <v>17.0</v>
      </c>
      <c r="L20" s="106">
        <f t="shared" si="1"/>
        <v>34</v>
      </c>
      <c r="M20" s="130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0" customHeight="1">
      <c r="A21" s="5"/>
      <c r="B21" s="102">
        <v>45670.0</v>
      </c>
      <c r="C21" s="93" t="s">
        <v>92</v>
      </c>
      <c r="D21" s="94">
        <v>1.0</v>
      </c>
      <c r="E21" s="47"/>
      <c r="F21" s="1" t="s">
        <v>31</v>
      </c>
      <c r="G21" s="44">
        <v>2791.0</v>
      </c>
      <c r="H21" s="95" t="s">
        <v>99</v>
      </c>
      <c r="I21" s="108">
        <v>2730.0</v>
      </c>
      <c r="J21" s="96">
        <v>40.0</v>
      </c>
      <c r="K21" s="97">
        <v>40.0</v>
      </c>
      <c r="L21" s="106">
        <f t="shared" si="1"/>
        <v>80</v>
      </c>
      <c r="M21" s="4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102">
        <v>45674.0</v>
      </c>
      <c r="C22" s="93" t="s">
        <v>92</v>
      </c>
      <c r="D22" s="94">
        <v>1.0</v>
      </c>
      <c r="E22" s="47"/>
      <c r="F22" s="1" t="s">
        <v>31</v>
      </c>
      <c r="G22" s="44">
        <v>2791.0</v>
      </c>
      <c r="H22" s="95" t="s">
        <v>99</v>
      </c>
      <c r="I22" s="108">
        <v>2730.0</v>
      </c>
      <c r="J22" s="96">
        <v>40.0</v>
      </c>
      <c r="K22" s="97">
        <v>40.0</v>
      </c>
      <c r="L22" s="106">
        <f t="shared" si="1"/>
        <v>80</v>
      </c>
      <c r="M22" s="4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102">
        <v>45672.0</v>
      </c>
      <c r="C23" s="125" t="s">
        <v>102</v>
      </c>
      <c r="D23" s="126">
        <v>1.0</v>
      </c>
      <c r="E23" s="127"/>
      <c r="F23" s="1" t="s">
        <v>31</v>
      </c>
      <c r="G23" s="44">
        <v>2791.0</v>
      </c>
      <c r="H23" s="1" t="s">
        <v>103</v>
      </c>
      <c r="I23" s="108">
        <v>1434.0</v>
      </c>
      <c r="J23" s="128">
        <v>19.0</v>
      </c>
      <c r="K23" s="129">
        <v>19.0</v>
      </c>
      <c r="L23" s="106">
        <f t="shared" si="1"/>
        <v>38</v>
      </c>
      <c r="M23" s="4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102">
        <v>45673.0</v>
      </c>
      <c r="C24" s="125" t="s">
        <v>102</v>
      </c>
      <c r="D24" s="126">
        <v>1.0</v>
      </c>
      <c r="E24" s="127"/>
      <c r="F24" s="1" t="s">
        <v>31</v>
      </c>
      <c r="G24" s="44">
        <v>2791.0</v>
      </c>
      <c r="H24" s="1" t="s">
        <v>103</v>
      </c>
      <c r="I24" s="108">
        <v>1434.0</v>
      </c>
      <c r="J24" s="128">
        <v>19.0</v>
      </c>
      <c r="K24" s="129">
        <v>19.0</v>
      </c>
      <c r="L24" s="106">
        <f t="shared" si="1"/>
        <v>38</v>
      </c>
      <c r="M24" s="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102">
        <v>45677.0</v>
      </c>
      <c r="C25" s="93" t="s">
        <v>92</v>
      </c>
      <c r="D25" s="94">
        <v>1.0</v>
      </c>
      <c r="E25" s="47"/>
      <c r="F25" s="1" t="s">
        <v>31</v>
      </c>
      <c r="G25" s="44">
        <v>2791.0</v>
      </c>
      <c r="H25" s="95" t="s">
        <v>99</v>
      </c>
      <c r="I25" s="108">
        <v>2730.0</v>
      </c>
      <c r="J25" s="96">
        <v>40.0</v>
      </c>
      <c r="K25" s="97">
        <v>40.0</v>
      </c>
      <c r="L25" s="106">
        <f t="shared" si="1"/>
        <v>80</v>
      </c>
      <c r="M25" s="4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102">
        <v>45678.0</v>
      </c>
      <c r="C26" s="93" t="s">
        <v>92</v>
      </c>
      <c r="D26" s="94">
        <v>1.0</v>
      </c>
      <c r="E26" s="47"/>
      <c r="F26" s="1" t="s">
        <v>31</v>
      </c>
      <c r="G26" s="44">
        <v>2791.0</v>
      </c>
      <c r="H26" s="95" t="s">
        <v>99</v>
      </c>
      <c r="I26" s="108">
        <v>2730.0</v>
      </c>
      <c r="J26" s="96">
        <v>40.0</v>
      </c>
      <c r="K26" s="97">
        <v>40.0</v>
      </c>
      <c r="L26" s="106">
        <f t="shared" si="1"/>
        <v>80</v>
      </c>
      <c r="M26" s="4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102">
        <v>45679.0</v>
      </c>
      <c r="C27" s="93" t="s">
        <v>92</v>
      </c>
      <c r="D27" s="94">
        <v>1.0</v>
      </c>
      <c r="E27" s="47"/>
      <c r="F27" s="1" t="s">
        <v>31</v>
      </c>
      <c r="G27" s="44">
        <v>2791.0</v>
      </c>
      <c r="H27" s="95" t="s">
        <v>99</v>
      </c>
      <c r="I27" s="108">
        <v>2730.0</v>
      </c>
      <c r="J27" s="96">
        <v>40.0</v>
      </c>
      <c r="K27" s="97">
        <v>40.0</v>
      </c>
      <c r="L27" s="106">
        <f t="shared" si="1"/>
        <v>80</v>
      </c>
      <c r="M27" s="4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102">
        <v>45679.0</v>
      </c>
      <c r="C28" s="93" t="s">
        <v>106</v>
      </c>
      <c r="D28" s="94">
        <v>1.0</v>
      </c>
      <c r="E28" s="47"/>
      <c r="F28" s="1" t="s">
        <v>31</v>
      </c>
      <c r="G28" s="44">
        <v>2791.0</v>
      </c>
      <c r="H28" s="95" t="s">
        <v>107</v>
      </c>
      <c r="I28" s="108">
        <v>2730.0</v>
      </c>
      <c r="J28" s="96">
        <v>5.0</v>
      </c>
      <c r="K28" s="97">
        <v>5.0</v>
      </c>
      <c r="L28" s="106">
        <f t="shared" si="1"/>
        <v>10</v>
      </c>
      <c r="M28" s="4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102">
        <v>45680.0</v>
      </c>
      <c r="C29" s="125" t="s">
        <v>102</v>
      </c>
      <c r="D29" s="126">
        <v>1.0</v>
      </c>
      <c r="E29" s="127"/>
      <c r="F29" s="1" t="s">
        <v>31</v>
      </c>
      <c r="G29" s="44">
        <v>2791.0</v>
      </c>
      <c r="H29" s="1" t="s">
        <v>103</v>
      </c>
      <c r="I29" s="108">
        <v>1434.0</v>
      </c>
      <c r="J29" s="128">
        <v>19.0</v>
      </c>
      <c r="K29" s="129">
        <v>19.0</v>
      </c>
      <c r="L29" s="106">
        <f t="shared" si="1"/>
        <v>38</v>
      </c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102">
        <v>45681.0</v>
      </c>
      <c r="C30" s="125" t="s">
        <v>102</v>
      </c>
      <c r="D30" s="126">
        <v>1.0</v>
      </c>
      <c r="E30" s="127"/>
      <c r="F30" s="1" t="s">
        <v>31</v>
      </c>
      <c r="G30" s="44">
        <v>2791.0</v>
      </c>
      <c r="H30" s="1" t="s">
        <v>103</v>
      </c>
      <c r="I30" s="108">
        <v>1434.0</v>
      </c>
      <c r="J30" s="128">
        <v>19.0</v>
      </c>
      <c r="K30" s="129">
        <v>19.0</v>
      </c>
      <c r="L30" s="106">
        <f t="shared" si="1"/>
        <v>38</v>
      </c>
      <c r="M30" s="4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102">
        <v>45686.0</v>
      </c>
      <c r="C31" s="125" t="s">
        <v>102</v>
      </c>
      <c r="D31" s="126">
        <v>1.0</v>
      </c>
      <c r="E31" s="127"/>
      <c r="F31" s="1" t="s">
        <v>31</v>
      </c>
      <c r="G31" s="44">
        <v>2791.0</v>
      </c>
      <c r="H31" s="1" t="s">
        <v>103</v>
      </c>
      <c r="I31" s="108">
        <v>1434.0</v>
      </c>
      <c r="J31" s="128">
        <v>19.0</v>
      </c>
      <c r="K31" s="129">
        <v>19.0</v>
      </c>
      <c r="L31" s="106">
        <f t="shared" si="1"/>
        <v>38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102">
        <v>45687.0</v>
      </c>
      <c r="C32" s="125" t="s">
        <v>102</v>
      </c>
      <c r="D32" s="126">
        <v>1.0</v>
      </c>
      <c r="E32" s="127"/>
      <c r="F32" s="1" t="s">
        <v>31</v>
      </c>
      <c r="G32" s="44">
        <v>2791.0</v>
      </c>
      <c r="H32" s="1" t="s">
        <v>103</v>
      </c>
      <c r="I32" s="108">
        <v>1434.0</v>
      </c>
      <c r="J32" s="128">
        <v>19.0</v>
      </c>
      <c r="K32" s="129">
        <v>19.0</v>
      </c>
      <c r="L32" s="106">
        <f t="shared" si="1"/>
        <v>38</v>
      </c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34"/>
      <c r="C33" s="35"/>
      <c r="D33" s="47"/>
      <c r="E33" s="47"/>
      <c r="F33" s="39"/>
      <c r="G33" s="44"/>
      <c r="H33" s="47"/>
      <c r="I33" s="44"/>
      <c r="J33" s="43"/>
      <c r="K33" s="43"/>
      <c r="L33" s="43"/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34"/>
      <c r="C34" s="35"/>
      <c r="D34" s="47"/>
      <c r="E34" s="47"/>
      <c r="F34" s="39"/>
      <c r="G34" s="44"/>
      <c r="H34" s="47"/>
      <c r="I34" s="44"/>
      <c r="J34" s="43"/>
      <c r="K34" s="43"/>
      <c r="L34" s="43"/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34"/>
      <c r="C35" s="35"/>
      <c r="D35" s="47"/>
      <c r="E35" s="47"/>
      <c r="F35" s="39"/>
      <c r="G35" s="44"/>
      <c r="H35" s="47"/>
      <c r="I35" s="44"/>
      <c r="J35" s="43"/>
      <c r="K35" s="43"/>
      <c r="L35" s="43"/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34"/>
      <c r="C36" s="35"/>
      <c r="D36" s="47"/>
      <c r="E36" s="47"/>
      <c r="F36" s="39"/>
      <c r="G36" s="44"/>
      <c r="H36" s="47"/>
      <c r="I36" s="44"/>
      <c r="J36" s="43"/>
      <c r="K36" s="43"/>
      <c r="L36" s="43"/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34"/>
      <c r="C37" s="35"/>
      <c r="D37" s="47"/>
      <c r="E37" s="47"/>
      <c r="F37" s="39"/>
      <c r="G37" s="44"/>
      <c r="H37" s="47"/>
      <c r="I37" s="44"/>
      <c r="J37" s="43"/>
      <c r="K37" s="43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34"/>
      <c r="C38" s="35"/>
      <c r="D38" s="47"/>
      <c r="E38" s="47"/>
      <c r="F38" s="39"/>
      <c r="G38" s="44"/>
      <c r="H38" s="47"/>
      <c r="I38" s="44"/>
      <c r="J38" s="43"/>
      <c r="K38" s="43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34"/>
      <c r="C39" s="35"/>
      <c r="D39" s="47"/>
      <c r="E39" s="47"/>
      <c r="F39" s="39"/>
      <c r="G39" s="44"/>
      <c r="H39" s="47"/>
      <c r="I39" s="44"/>
      <c r="J39" s="43"/>
      <c r="K39" s="43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34"/>
      <c r="C40" s="35"/>
      <c r="D40" s="47"/>
      <c r="E40" s="47"/>
      <c r="F40" s="39"/>
      <c r="G40" s="44"/>
      <c r="H40" s="47"/>
      <c r="I40" s="44"/>
      <c r="J40" s="43"/>
      <c r="K40" s="43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34"/>
      <c r="C41" s="35"/>
      <c r="D41" s="47"/>
      <c r="E41" s="47"/>
      <c r="F41" s="39"/>
      <c r="G41" s="44"/>
      <c r="H41" s="47"/>
      <c r="I41" s="44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34"/>
      <c r="C42" s="35"/>
      <c r="D42" s="47"/>
      <c r="E42" s="47"/>
      <c r="F42" s="39"/>
      <c r="G42" s="44"/>
      <c r="H42" s="47"/>
      <c r="I42" s="44"/>
      <c r="J42" s="43"/>
      <c r="K42" s="43"/>
      <c r="L42" s="43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34"/>
      <c r="C43" s="35"/>
      <c r="D43" s="47"/>
      <c r="E43" s="47"/>
      <c r="F43" s="39"/>
      <c r="G43" s="44"/>
      <c r="H43" s="47"/>
      <c r="I43" s="44"/>
      <c r="J43" s="43"/>
      <c r="K43" s="43"/>
      <c r="L43" s="43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34"/>
      <c r="C44" s="35"/>
      <c r="D44" s="47"/>
      <c r="E44" s="47"/>
      <c r="F44" s="39"/>
      <c r="G44" s="44"/>
      <c r="H44" s="47"/>
      <c r="I44" s="44"/>
      <c r="J44" s="43"/>
      <c r="K44" s="43"/>
      <c r="L44" s="43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34"/>
      <c r="C45" s="35"/>
      <c r="D45" s="47"/>
      <c r="E45" s="47"/>
      <c r="F45" s="39"/>
      <c r="G45" s="44"/>
      <c r="H45" s="47"/>
      <c r="I45" s="44"/>
      <c r="J45" s="43"/>
      <c r="K45" s="43"/>
      <c r="L45" s="43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34"/>
      <c r="C46" s="35"/>
      <c r="D46" s="47"/>
      <c r="E46" s="47"/>
      <c r="F46" s="39"/>
      <c r="G46" s="44"/>
      <c r="H46" s="47"/>
      <c r="I46" s="44"/>
      <c r="J46" s="43"/>
      <c r="K46" s="43"/>
      <c r="L46" s="43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34"/>
      <c r="C47" s="35"/>
      <c r="D47" s="47"/>
      <c r="E47" s="47"/>
      <c r="F47" s="39"/>
      <c r="G47" s="44"/>
      <c r="H47" s="47"/>
      <c r="I47" s="44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34"/>
      <c r="C48" s="35"/>
      <c r="D48" s="47"/>
      <c r="E48" s="47"/>
      <c r="F48" s="39"/>
      <c r="G48" s="44"/>
      <c r="H48" s="47"/>
      <c r="I48" s="44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34"/>
      <c r="C49" s="53"/>
      <c r="D49" s="54"/>
      <c r="E49" s="54"/>
      <c r="F49" s="39"/>
      <c r="G49" s="44"/>
      <c r="H49" s="54"/>
      <c r="I49" s="44"/>
      <c r="J49" s="55"/>
      <c r="K49" s="55"/>
      <c r="L49" s="107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34"/>
      <c r="C50" s="35"/>
      <c r="D50" s="47"/>
      <c r="E50" s="47"/>
      <c r="F50" s="39"/>
      <c r="G50" s="44"/>
      <c r="H50" s="47"/>
      <c r="I50" s="44"/>
      <c r="J50" s="43"/>
      <c r="K50" s="43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34"/>
      <c r="C51" s="35"/>
      <c r="D51" s="47"/>
      <c r="E51" s="47"/>
      <c r="F51" s="39"/>
      <c r="G51" s="44"/>
      <c r="H51" s="47"/>
      <c r="I51" s="44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34"/>
      <c r="C52" s="35"/>
      <c r="D52" s="47"/>
      <c r="E52" s="47"/>
      <c r="F52" s="39"/>
      <c r="G52" s="44"/>
      <c r="H52" s="47"/>
      <c r="I52" s="44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34"/>
      <c r="C53" s="35"/>
      <c r="D53" s="47"/>
      <c r="E53" s="47"/>
      <c r="F53" s="39"/>
      <c r="G53" s="44"/>
      <c r="H53" s="47"/>
      <c r="I53" s="44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34"/>
      <c r="C54" s="35"/>
      <c r="D54" s="47"/>
      <c r="E54" s="47"/>
      <c r="F54" s="39"/>
      <c r="G54" s="44"/>
      <c r="H54" s="47"/>
      <c r="I54" s="44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34"/>
      <c r="C55" s="35"/>
      <c r="D55" s="47"/>
      <c r="E55" s="47"/>
      <c r="F55" s="39"/>
      <c r="G55" s="44"/>
      <c r="H55" s="47"/>
      <c r="I55" s="44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34"/>
      <c r="C56" s="35"/>
      <c r="D56" s="47"/>
      <c r="E56" s="47"/>
      <c r="F56" s="39"/>
      <c r="G56" s="44"/>
      <c r="H56" s="47"/>
      <c r="I56" s="44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34"/>
      <c r="C57" s="35"/>
      <c r="D57" s="47"/>
      <c r="E57" s="47"/>
      <c r="F57" s="39"/>
      <c r="G57" s="44"/>
      <c r="H57" s="47"/>
      <c r="I57" s="44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34"/>
      <c r="C58" s="35"/>
      <c r="D58" s="47"/>
      <c r="E58" s="47"/>
      <c r="F58" s="39"/>
      <c r="G58" s="44"/>
      <c r="H58" s="47"/>
      <c r="I58" s="44"/>
      <c r="J58" s="43"/>
      <c r="K58" s="43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34"/>
      <c r="C59" s="35"/>
      <c r="D59" s="47"/>
      <c r="E59" s="47"/>
      <c r="F59" s="39"/>
      <c r="G59" s="44"/>
      <c r="H59" s="47"/>
      <c r="I59" s="44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34"/>
      <c r="C60" s="35"/>
      <c r="D60" s="47"/>
      <c r="E60" s="47"/>
      <c r="F60" s="39"/>
      <c r="G60" s="44"/>
      <c r="H60" s="47"/>
      <c r="I60" s="44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34"/>
      <c r="C61" s="35"/>
      <c r="D61" s="47"/>
      <c r="E61" s="47"/>
      <c r="F61" s="39"/>
      <c r="G61" s="44"/>
      <c r="H61" s="47"/>
      <c r="I61" s="44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34"/>
      <c r="C62" s="35"/>
      <c r="D62" s="47"/>
      <c r="E62" s="47"/>
      <c r="F62" s="39"/>
      <c r="G62" s="44"/>
      <c r="H62" s="47"/>
      <c r="I62" s="44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34"/>
      <c r="C63" s="35"/>
      <c r="D63" s="47"/>
      <c r="E63" s="47"/>
      <c r="F63" s="39"/>
      <c r="G63" s="44"/>
      <c r="H63" s="47"/>
      <c r="I63" s="44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34"/>
      <c r="C64" s="35"/>
      <c r="D64" s="47"/>
      <c r="E64" s="47"/>
      <c r="F64" s="39"/>
      <c r="G64" s="44"/>
      <c r="H64" s="47"/>
      <c r="I64" s="44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34"/>
      <c r="C65" s="35"/>
      <c r="D65" s="47"/>
      <c r="E65" s="47"/>
      <c r="F65" s="39"/>
      <c r="G65" s="44"/>
      <c r="H65" s="47"/>
      <c r="I65" s="44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34"/>
      <c r="C66" s="35"/>
      <c r="D66" s="47"/>
      <c r="E66" s="47"/>
      <c r="F66" s="39"/>
      <c r="G66" s="44"/>
      <c r="H66" s="47"/>
      <c r="I66" s="44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34"/>
      <c r="C67" s="35"/>
      <c r="D67" s="47"/>
      <c r="E67" s="47"/>
      <c r="F67" s="39"/>
      <c r="G67" s="44"/>
      <c r="H67" s="47"/>
      <c r="I67" s="44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34"/>
      <c r="C68" s="35"/>
      <c r="D68" s="47"/>
      <c r="E68" s="47"/>
      <c r="F68" s="39"/>
      <c r="G68" s="44"/>
      <c r="H68" s="47"/>
      <c r="I68" s="44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34"/>
      <c r="C69" s="35"/>
      <c r="D69" s="47"/>
      <c r="E69" s="47"/>
      <c r="F69" s="39"/>
      <c r="G69" s="44"/>
      <c r="H69" s="47"/>
      <c r="I69" s="44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34"/>
      <c r="C70" s="35"/>
      <c r="D70" s="47"/>
      <c r="E70" s="47"/>
      <c r="F70" s="39"/>
      <c r="G70" s="44"/>
      <c r="H70" s="47"/>
      <c r="I70" s="44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34"/>
      <c r="C71" s="35"/>
      <c r="D71" s="47"/>
      <c r="E71" s="47"/>
      <c r="F71" s="39"/>
      <c r="G71" s="44"/>
      <c r="H71" s="47"/>
      <c r="I71" s="44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34"/>
      <c r="C72" s="35"/>
      <c r="D72" s="47"/>
      <c r="E72" s="47"/>
      <c r="F72" s="39"/>
      <c r="G72" s="44"/>
      <c r="H72" s="47"/>
      <c r="I72" s="44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34"/>
      <c r="C73" s="35"/>
      <c r="D73" s="47"/>
      <c r="E73" s="47"/>
      <c r="F73" s="39"/>
      <c r="G73" s="44"/>
      <c r="H73" s="47"/>
      <c r="I73" s="44"/>
      <c r="J73" s="43"/>
      <c r="K73" s="43"/>
      <c r="L73" s="43"/>
      <c r="M73" s="4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34"/>
      <c r="C74" s="35"/>
      <c r="D74" s="47"/>
      <c r="E74" s="47"/>
      <c r="F74" s="39"/>
      <c r="G74" s="44"/>
      <c r="H74" s="47"/>
      <c r="I74" s="44"/>
      <c r="J74" s="43"/>
      <c r="K74" s="43"/>
      <c r="L74" s="43"/>
      <c r="M74" s="4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34"/>
      <c r="C75" s="35"/>
      <c r="D75" s="47"/>
      <c r="E75" s="47"/>
      <c r="F75" s="39"/>
      <c r="G75" s="44"/>
      <c r="H75" s="47"/>
      <c r="I75" s="44"/>
      <c r="J75" s="43"/>
      <c r="K75" s="43"/>
      <c r="L75" s="43"/>
      <c r="M75" s="43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34"/>
      <c r="C76" s="35"/>
      <c r="D76" s="47"/>
      <c r="E76" s="47"/>
      <c r="F76" s="39"/>
      <c r="G76" s="44"/>
      <c r="H76" s="47"/>
      <c r="I76" s="44"/>
      <c r="J76" s="43"/>
      <c r="K76" s="43"/>
      <c r="L76" s="43"/>
      <c r="M76" s="43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34"/>
      <c r="C77" s="35"/>
      <c r="D77" s="47"/>
      <c r="E77" s="47"/>
      <c r="F77" s="39"/>
      <c r="G77" s="44"/>
      <c r="H77" s="47"/>
      <c r="I77" s="44"/>
      <c r="J77" s="43"/>
      <c r="K77" s="43"/>
      <c r="L77" s="43"/>
      <c r="M77" s="43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34"/>
      <c r="C78" s="35"/>
      <c r="D78" s="47"/>
      <c r="E78" s="47"/>
      <c r="F78" s="39"/>
      <c r="G78" s="44"/>
      <c r="H78" s="47"/>
      <c r="I78" s="44"/>
      <c r="J78" s="43"/>
      <c r="K78" s="43"/>
      <c r="L78" s="43"/>
      <c r="M78" s="43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34"/>
      <c r="C79" s="35"/>
      <c r="D79" s="47"/>
      <c r="E79" s="47"/>
      <c r="F79" s="39"/>
      <c r="G79" s="44"/>
      <c r="H79" s="47"/>
      <c r="I79" s="44"/>
      <c r="J79" s="43"/>
      <c r="K79" s="43"/>
      <c r="L79" s="43"/>
      <c r="M79" s="43">
        <f t="shared" ref="M79:M80" si="2">(K79-J79)*E79</f>
        <v>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34"/>
      <c r="C80" s="35"/>
      <c r="D80" s="47"/>
      <c r="E80" s="47"/>
      <c r="F80" s="39"/>
      <c r="G80" s="44"/>
      <c r="H80" s="47"/>
      <c r="I80" s="44"/>
      <c r="J80" s="43"/>
      <c r="K80" s="43"/>
      <c r="L80" s="43"/>
      <c r="M80" s="43">
        <f t="shared" si="2"/>
        <v>0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6" t="s">
        <v>38</v>
      </c>
      <c r="D82" s="57"/>
      <c r="E82" s="57"/>
      <c r="F82" s="57"/>
      <c r="G82" s="5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9"/>
      <c r="G83" s="60"/>
      <c r="H83" s="43">
        <v>0.0</v>
      </c>
      <c r="I83" s="61" t="s">
        <v>39</v>
      </c>
      <c r="J83" s="62"/>
      <c r="K83" s="62"/>
      <c r="L83" s="62"/>
      <c r="M83" s="63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64"/>
      <c r="D84" s="65"/>
      <c r="E84" s="65"/>
      <c r="F84" s="65"/>
      <c r="G84" s="66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5"/>
      <c r="C85" s="67" t="s">
        <v>40</v>
      </c>
      <c r="D85" s="62"/>
      <c r="E85" s="62"/>
      <c r="F85" s="62"/>
      <c r="G85" s="14"/>
      <c r="H85" s="68" t="str">
        <f>SUM(#REF!)</f>
        <v>#REF!</v>
      </c>
      <c r="I85" s="69" t="s">
        <v>41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9.5" customHeight="1">
      <c r="A87" s="5"/>
      <c r="B87" s="5"/>
      <c r="C87" s="67" t="s">
        <v>42</v>
      </c>
      <c r="D87" s="62"/>
      <c r="E87" s="62"/>
      <c r="F87" s="62"/>
      <c r="G87" s="63"/>
      <c r="H87" s="68" t="str">
        <f>H83+H85</f>
        <v>#REF!</v>
      </c>
      <c r="I87" s="69" t="s">
        <v>41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75" customHeight="1">
      <c r="A89" s="5"/>
      <c r="B89" s="5"/>
      <c r="C89" s="67" t="s">
        <v>43</v>
      </c>
      <c r="D89" s="62"/>
      <c r="E89" s="62"/>
      <c r="F89" s="62"/>
      <c r="G89" s="63"/>
      <c r="H89" s="68" t="str">
        <f>IF(H87&lt;=20000,H85,IF(H83&gt;20000,0,20000-H83))</f>
        <v>#REF!</v>
      </c>
      <c r="I89" s="69" t="s">
        <v>41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5"/>
      <c r="C91" s="67" t="s">
        <v>44</v>
      </c>
      <c r="D91" s="62"/>
      <c r="E91" s="62"/>
      <c r="F91" s="62"/>
      <c r="G91" s="14"/>
      <c r="H91" s="68" t="str">
        <f>IF(H87&gt;20000,H87-H83-H89,0)</f>
        <v>#REF!</v>
      </c>
      <c r="I91" s="69" t="s">
        <v>41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7.25" customHeight="1">
      <c r="A93" s="5"/>
      <c r="B93" s="5"/>
      <c r="C93" s="70" t="s">
        <v>45</v>
      </c>
      <c r="D93" s="71">
        <v>3.79</v>
      </c>
      <c r="E93" s="72" t="s">
        <v>46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5"/>
      <c r="B94" s="5"/>
      <c r="C94" s="32"/>
      <c r="D94" s="71">
        <v>2.23</v>
      </c>
      <c r="E94" s="72" t="s">
        <v>47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30.0" customHeight="1">
      <c r="A96" s="5"/>
      <c r="B96" s="5"/>
      <c r="C96" s="73" t="s">
        <v>48</v>
      </c>
      <c r="D96" s="62"/>
      <c r="E96" s="62"/>
      <c r="F96" s="14"/>
      <c r="G96" s="74" t="str">
        <f>(H89*D93)+(H91*D94)</f>
        <v>#REF!</v>
      </c>
      <c r="H96" s="12"/>
      <c r="I96" s="69" t="s">
        <v>41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75" t="s">
        <v>49</v>
      </c>
      <c r="D98" s="76"/>
      <c r="E98" s="77"/>
      <c r="F98" s="78"/>
      <c r="G98" s="76"/>
      <c r="H98" s="76"/>
      <c r="I98" s="77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79"/>
      <c r="D99" s="65"/>
      <c r="E99" s="80"/>
      <c r="F99" s="79"/>
      <c r="G99" s="65"/>
      <c r="H99" s="65"/>
      <c r="I99" s="80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3.25" customHeight="1">
      <c r="A100" s="5"/>
      <c r="B100" s="5"/>
      <c r="C100" s="81" t="s">
        <v>50</v>
      </c>
      <c r="D100" s="15"/>
      <c r="E100" s="12"/>
      <c r="F100" s="82"/>
      <c r="G100" s="15"/>
      <c r="H100" s="15"/>
      <c r="I100" s="12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30">
    <mergeCell ref="A5:D5"/>
    <mergeCell ref="B7:M7"/>
    <mergeCell ref="C9:D9"/>
    <mergeCell ref="H9:I9"/>
    <mergeCell ref="J9:M9"/>
    <mergeCell ref="C10:D10"/>
    <mergeCell ref="H10:I10"/>
    <mergeCell ref="J10:M10"/>
    <mergeCell ref="B14:M14"/>
    <mergeCell ref="B16:B17"/>
    <mergeCell ref="C16:C17"/>
    <mergeCell ref="D16:E16"/>
    <mergeCell ref="H16:I16"/>
    <mergeCell ref="J16:K16"/>
    <mergeCell ref="F16:G16"/>
    <mergeCell ref="C82:G84"/>
    <mergeCell ref="I83:M83"/>
    <mergeCell ref="C85:G85"/>
    <mergeCell ref="C87:G87"/>
    <mergeCell ref="C89:G89"/>
    <mergeCell ref="C91:G91"/>
    <mergeCell ref="C100:E100"/>
    <mergeCell ref="F100:I100"/>
    <mergeCell ref="C93:C94"/>
    <mergeCell ref="E93:I93"/>
    <mergeCell ref="E94:I94"/>
    <mergeCell ref="C96:F96"/>
    <mergeCell ref="G96:H96"/>
    <mergeCell ref="C98:E99"/>
    <mergeCell ref="F98:I99"/>
  </mergeCells>
  <dataValidations>
    <dataValidation type="decimal" allowBlank="1" showInputMessage="1" showErrorMessage="1" prompt="Ugyldigt tal - Tallet på kilometertælleren skal være mellem 0 and 999.999,9" sqref="J18:K32">
      <formula1>0.0</formula1>
      <formula2>999999.9</formula2>
    </dataValidation>
  </dataValidations>
  <hyperlinks>
    <hyperlink r:id="rId1" ref="A13"/>
  </hyperlinks>
  <printOptions/>
  <pageMargins bottom="0.75" footer="0.0" header="0.0" left="0.7" right="0.7" top="0.75"/>
  <pageSetup orientation="landscape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0.13"/>
    <col customWidth="1" min="3" max="3" width="62.25"/>
    <col customWidth="1" min="4" max="4" width="12.25"/>
    <col customWidth="1" min="5" max="5" width="12.38"/>
    <col customWidth="1" min="6" max="6" width="20.88"/>
    <col customWidth="1" min="7" max="7" width="11.25"/>
    <col customWidth="1" min="8" max="8" width="19.38"/>
    <col customWidth="1" min="9" max="9" width="11.63"/>
    <col customWidth="1" min="10" max="10" width="13.38"/>
    <col customWidth="1" min="11" max="11" width="14.13"/>
    <col customWidth="1" min="12" max="13" width="14.5"/>
    <col customWidth="1" min="14" max="14" width="19.5"/>
    <col customWidth="1" min="15" max="26" width="8.75"/>
  </cols>
  <sheetData>
    <row r="1" ht="12.75" customHeight="1">
      <c r="A1" s="5"/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9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8"/>
      <c r="B9" s="10" t="s">
        <v>4</v>
      </c>
      <c r="C9" s="88">
        <v>45689.0</v>
      </c>
      <c r="D9" s="12"/>
      <c r="E9" s="9"/>
      <c r="F9" s="9"/>
      <c r="G9" s="9"/>
      <c r="H9" s="13" t="s">
        <v>6</v>
      </c>
      <c r="I9" s="14"/>
      <c r="J9" s="11" t="s">
        <v>7</v>
      </c>
      <c r="K9" s="15"/>
      <c r="L9" s="15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8"/>
      <c r="B10" s="16" t="s">
        <v>8</v>
      </c>
      <c r="C10" s="101" t="s">
        <v>63</v>
      </c>
      <c r="D10" s="12"/>
      <c r="E10" s="9"/>
      <c r="F10" s="9"/>
      <c r="G10" s="9"/>
      <c r="H10" s="13" t="s">
        <v>10</v>
      </c>
      <c r="I10" s="14"/>
      <c r="J10" s="17" t="s">
        <v>11</v>
      </c>
      <c r="K10" s="18"/>
      <c r="L10" s="18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20" t="s">
        <v>12</v>
      </c>
      <c r="K11" s="21">
        <f>SUM(L18:L35)</f>
        <v>826</v>
      </c>
      <c r="L11" s="9"/>
      <c r="M11" s="9"/>
      <c r="N11" s="100" t="s">
        <v>85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8"/>
      <c r="B12" s="9"/>
      <c r="C12" s="9"/>
      <c r="D12" s="9"/>
      <c r="E12" s="9"/>
      <c r="F12" s="9"/>
      <c r="G12" s="9"/>
      <c r="H12" s="9"/>
      <c r="I12" s="9"/>
      <c r="J12" s="20" t="s">
        <v>13</v>
      </c>
      <c r="K12" s="89">
        <v>3.81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90" t="s">
        <v>53</v>
      </c>
      <c r="B13" s="8"/>
      <c r="C13" s="8"/>
      <c r="D13" s="8"/>
      <c r="E13" s="5"/>
      <c r="F13" s="5"/>
      <c r="G13" s="5"/>
      <c r="H13" s="5"/>
      <c r="I13" s="5"/>
      <c r="J13" s="20" t="s">
        <v>15</v>
      </c>
      <c r="K13" s="22">
        <f>SUM(K11*K12)</f>
        <v>3147.06</v>
      </c>
      <c r="L13" s="10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24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27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5.25" customHeight="1">
      <c r="A16" s="5"/>
      <c r="B16" s="29" t="s">
        <v>17</v>
      </c>
      <c r="C16" s="30" t="s">
        <v>18</v>
      </c>
      <c r="D16" s="31" t="s">
        <v>19</v>
      </c>
      <c r="E16" s="26"/>
      <c r="F16" s="31" t="s">
        <v>20</v>
      </c>
      <c r="G16" s="26"/>
      <c r="H16" s="31" t="s">
        <v>21</v>
      </c>
      <c r="I16" s="26"/>
      <c r="J16" s="31" t="s">
        <v>22</v>
      </c>
      <c r="K16" s="26"/>
      <c r="L16" s="104"/>
      <c r="M16" s="10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32"/>
      <c r="C17" s="32"/>
      <c r="D17" s="33" t="s">
        <v>24</v>
      </c>
      <c r="E17" s="33" t="s">
        <v>25</v>
      </c>
      <c r="F17" s="33" t="s">
        <v>26</v>
      </c>
      <c r="G17" s="33" t="s">
        <v>27</v>
      </c>
      <c r="H17" s="33" t="s">
        <v>26</v>
      </c>
      <c r="I17" s="33" t="s">
        <v>27</v>
      </c>
      <c r="J17" s="33" t="s">
        <v>28</v>
      </c>
      <c r="K17" s="33" t="s">
        <v>29</v>
      </c>
      <c r="L17" s="105" t="s">
        <v>24</v>
      </c>
      <c r="M17" s="33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5"/>
      <c r="B18" s="102">
        <v>45691.0</v>
      </c>
      <c r="C18" s="125" t="s">
        <v>102</v>
      </c>
      <c r="D18" s="126">
        <v>1.0</v>
      </c>
      <c r="E18" s="127"/>
      <c r="F18" s="1" t="s">
        <v>31</v>
      </c>
      <c r="G18" s="44">
        <v>2791.0</v>
      </c>
      <c r="H18" s="1" t="s">
        <v>103</v>
      </c>
      <c r="I18" s="108">
        <v>1434.0</v>
      </c>
      <c r="J18" s="128">
        <v>19.0</v>
      </c>
      <c r="K18" s="129">
        <v>19.0</v>
      </c>
      <c r="L18" s="106">
        <f t="shared" ref="L18:L32" si="1">SUM(J18:K18)</f>
        <v>38</v>
      </c>
      <c r="M18" s="130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5"/>
      <c r="B19" s="102">
        <v>45692.0</v>
      </c>
      <c r="C19" s="125" t="s">
        <v>102</v>
      </c>
      <c r="D19" s="126">
        <v>1.0</v>
      </c>
      <c r="E19" s="127"/>
      <c r="F19" s="1" t="s">
        <v>31</v>
      </c>
      <c r="G19" s="44">
        <v>2791.0</v>
      </c>
      <c r="H19" s="1" t="s">
        <v>103</v>
      </c>
      <c r="I19" s="108">
        <v>1434.0</v>
      </c>
      <c r="J19" s="128">
        <v>19.0</v>
      </c>
      <c r="K19" s="129">
        <v>19.0</v>
      </c>
      <c r="L19" s="106">
        <f t="shared" si="1"/>
        <v>38</v>
      </c>
      <c r="M19" s="130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0" customHeight="1">
      <c r="A20" s="5"/>
      <c r="B20" s="102">
        <v>45699.0</v>
      </c>
      <c r="C20" s="93" t="s">
        <v>92</v>
      </c>
      <c r="D20" s="94">
        <v>1.0</v>
      </c>
      <c r="E20" s="47"/>
      <c r="F20" s="1" t="s">
        <v>31</v>
      </c>
      <c r="G20" s="44">
        <v>2791.0</v>
      </c>
      <c r="H20" s="95" t="s">
        <v>99</v>
      </c>
      <c r="I20" s="108">
        <v>2730.0</v>
      </c>
      <c r="J20" s="96">
        <v>40.0</v>
      </c>
      <c r="K20" s="97">
        <v>40.0</v>
      </c>
      <c r="L20" s="106">
        <f t="shared" si="1"/>
        <v>80</v>
      </c>
      <c r="M20" s="4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102">
        <v>45700.0</v>
      </c>
      <c r="C21" s="93" t="s">
        <v>92</v>
      </c>
      <c r="D21" s="94">
        <v>1.0</v>
      </c>
      <c r="E21" s="47"/>
      <c r="F21" s="1" t="s">
        <v>31</v>
      </c>
      <c r="G21" s="44">
        <v>2791.0</v>
      </c>
      <c r="H21" s="95" t="s">
        <v>99</v>
      </c>
      <c r="I21" s="108">
        <v>2730.0</v>
      </c>
      <c r="J21" s="96">
        <v>40.0</v>
      </c>
      <c r="K21" s="97">
        <v>40.0</v>
      </c>
      <c r="L21" s="106">
        <f t="shared" si="1"/>
        <v>80</v>
      </c>
      <c r="M21" s="4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102">
        <v>45698.0</v>
      </c>
      <c r="C22" s="125" t="s">
        <v>102</v>
      </c>
      <c r="D22" s="126">
        <v>1.0</v>
      </c>
      <c r="E22" s="127"/>
      <c r="F22" s="1" t="s">
        <v>31</v>
      </c>
      <c r="G22" s="44">
        <v>2791.0</v>
      </c>
      <c r="H22" s="1" t="s">
        <v>103</v>
      </c>
      <c r="I22" s="108">
        <v>1434.0</v>
      </c>
      <c r="J22" s="128">
        <v>19.0</v>
      </c>
      <c r="K22" s="129">
        <v>19.0</v>
      </c>
      <c r="L22" s="106">
        <f t="shared" si="1"/>
        <v>38</v>
      </c>
      <c r="M22" s="4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102"/>
      <c r="C23" s="93"/>
      <c r="D23" s="94"/>
      <c r="E23" s="47"/>
      <c r="F23" s="1"/>
      <c r="G23" s="44"/>
      <c r="H23" s="95"/>
      <c r="I23" s="108"/>
      <c r="J23" s="96"/>
      <c r="K23" s="97"/>
      <c r="L23" s="106">
        <f t="shared" si="1"/>
        <v>0</v>
      </c>
      <c r="M23" s="4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102">
        <v>45701.0</v>
      </c>
      <c r="C24" s="93" t="s">
        <v>92</v>
      </c>
      <c r="D24" s="94">
        <v>1.0</v>
      </c>
      <c r="E24" s="47"/>
      <c r="F24" s="1" t="s">
        <v>31</v>
      </c>
      <c r="G24" s="44">
        <v>2791.0</v>
      </c>
      <c r="H24" s="95" t="s">
        <v>99</v>
      </c>
      <c r="I24" s="108">
        <v>2730.0</v>
      </c>
      <c r="J24" s="96">
        <v>40.0</v>
      </c>
      <c r="K24" s="97">
        <v>40.0</v>
      </c>
      <c r="L24" s="106">
        <f t="shared" si="1"/>
        <v>80</v>
      </c>
      <c r="M24" s="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102">
        <v>45702.0</v>
      </c>
      <c r="C25" s="93" t="s">
        <v>92</v>
      </c>
      <c r="D25" s="94">
        <v>1.0</v>
      </c>
      <c r="E25" s="47"/>
      <c r="F25" s="1" t="s">
        <v>31</v>
      </c>
      <c r="G25" s="44">
        <v>2791.0</v>
      </c>
      <c r="H25" s="95" t="s">
        <v>99</v>
      </c>
      <c r="I25" s="108">
        <v>2730.0</v>
      </c>
      <c r="J25" s="96">
        <v>40.0</v>
      </c>
      <c r="K25" s="97">
        <v>40.0</v>
      </c>
      <c r="L25" s="106">
        <f t="shared" si="1"/>
        <v>80</v>
      </c>
      <c r="M25" s="4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102">
        <v>45705.0</v>
      </c>
      <c r="C26" s="93" t="s">
        <v>92</v>
      </c>
      <c r="D26" s="94">
        <v>1.0</v>
      </c>
      <c r="E26" s="47"/>
      <c r="F26" s="1" t="s">
        <v>31</v>
      </c>
      <c r="G26" s="44">
        <v>2791.0</v>
      </c>
      <c r="H26" s="95" t="s">
        <v>99</v>
      </c>
      <c r="I26" s="108">
        <v>2730.0</v>
      </c>
      <c r="J26" s="96">
        <v>40.0</v>
      </c>
      <c r="K26" s="97">
        <v>40.0</v>
      </c>
      <c r="L26" s="106">
        <f t="shared" si="1"/>
        <v>80</v>
      </c>
      <c r="M26" s="4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102">
        <v>45706.0</v>
      </c>
      <c r="C27" s="93" t="s">
        <v>92</v>
      </c>
      <c r="D27" s="94">
        <v>1.0</v>
      </c>
      <c r="E27" s="47"/>
      <c r="F27" s="1" t="s">
        <v>31</v>
      </c>
      <c r="G27" s="44">
        <v>2791.0</v>
      </c>
      <c r="H27" s="95" t="s">
        <v>99</v>
      </c>
      <c r="I27" s="108">
        <v>2730.0</v>
      </c>
      <c r="J27" s="96">
        <v>40.0</v>
      </c>
      <c r="K27" s="97">
        <v>40.0</v>
      </c>
      <c r="L27" s="106">
        <f t="shared" si="1"/>
        <v>80</v>
      </c>
      <c r="M27" s="4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102">
        <v>45707.0</v>
      </c>
      <c r="C28" s="93" t="s">
        <v>102</v>
      </c>
      <c r="D28" s="94">
        <v>1.0</v>
      </c>
      <c r="E28" s="47"/>
      <c r="F28" s="1" t="s">
        <v>31</v>
      </c>
      <c r="G28" s="40">
        <v>2791.0</v>
      </c>
      <c r="H28" s="95" t="s">
        <v>103</v>
      </c>
      <c r="I28" s="108">
        <v>1434.0</v>
      </c>
      <c r="J28" s="96">
        <v>19.0</v>
      </c>
      <c r="K28" s="97">
        <v>19.0</v>
      </c>
      <c r="L28" s="106">
        <f t="shared" si="1"/>
        <v>38</v>
      </c>
      <c r="M28" s="4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102">
        <v>45708.0</v>
      </c>
      <c r="C29" s="93" t="s">
        <v>102</v>
      </c>
      <c r="D29" s="94">
        <v>1.0</v>
      </c>
      <c r="E29" s="47"/>
      <c r="F29" s="1" t="s">
        <v>31</v>
      </c>
      <c r="G29" s="40">
        <v>2791.0</v>
      </c>
      <c r="H29" s="95" t="s">
        <v>103</v>
      </c>
      <c r="I29" s="108">
        <v>1434.0</v>
      </c>
      <c r="J29" s="96">
        <v>19.0</v>
      </c>
      <c r="K29" s="96">
        <v>19.0</v>
      </c>
      <c r="L29" s="106">
        <f t="shared" si="1"/>
        <v>38</v>
      </c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102">
        <v>45713.0</v>
      </c>
      <c r="C30" s="93" t="s">
        <v>92</v>
      </c>
      <c r="D30" s="94">
        <v>1.0</v>
      </c>
      <c r="E30" s="47"/>
      <c r="F30" s="1" t="s">
        <v>31</v>
      </c>
      <c r="G30" s="44">
        <v>2791.0</v>
      </c>
      <c r="H30" s="95" t="s">
        <v>99</v>
      </c>
      <c r="I30" s="108">
        <v>2730.0</v>
      </c>
      <c r="J30" s="96">
        <v>40.0</v>
      </c>
      <c r="K30" s="97">
        <v>40.0</v>
      </c>
      <c r="L30" s="106">
        <f t="shared" si="1"/>
        <v>80</v>
      </c>
      <c r="M30" s="131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102">
        <v>45714.0</v>
      </c>
      <c r="C31" s="1" t="s">
        <v>102</v>
      </c>
      <c r="D31" s="1">
        <v>1.0</v>
      </c>
      <c r="F31" s="1" t="s">
        <v>31</v>
      </c>
      <c r="G31" s="1">
        <v>2791.0</v>
      </c>
      <c r="H31" s="1" t="s">
        <v>103</v>
      </c>
      <c r="I31" s="1">
        <v>1434.0</v>
      </c>
      <c r="J31" s="1">
        <v>19.0</v>
      </c>
      <c r="K31" s="1">
        <v>19.0</v>
      </c>
      <c r="L31" s="106">
        <f t="shared" si="1"/>
        <v>38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102">
        <v>45715.0</v>
      </c>
      <c r="C32" s="93" t="s">
        <v>102</v>
      </c>
      <c r="D32" s="94">
        <v>1.0</v>
      </c>
      <c r="E32" s="47"/>
      <c r="F32" s="1" t="s">
        <v>31</v>
      </c>
      <c r="G32" s="40">
        <v>2791.0</v>
      </c>
      <c r="H32" s="95" t="s">
        <v>103</v>
      </c>
      <c r="I32" s="40">
        <v>1434.0</v>
      </c>
      <c r="J32" s="96">
        <v>19.0</v>
      </c>
      <c r="K32" s="97">
        <v>19.0</v>
      </c>
      <c r="L32" s="106">
        <f t="shared" si="1"/>
        <v>38</v>
      </c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34"/>
      <c r="C33" s="35"/>
      <c r="D33" s="47"/>
      <c r="E33" s="47"/>
      <c r="F33" s="39"/>
      <c r="G33" s="44"/>
      <c r="H33" s="47"/>
      <c r="I33" s="44"/>
      <c r="J33" s="43"/>
      <c r="K33" s="43"/>
      <c r="L33" s="43"/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34"/>
      <c r="C34" s="35"/>
      <c r="D34" s="47"/>
      <c r="E34" s="47"/>
      <c r="F34" s="39"/>
      <c r="G34" s="44"/>
      <c r="H34" s="47"/>
      <c r="I34" s="44"/>
      <c r="J34" s="43"/>
      <c r="K34" s="43"/>
      <c r="L34" s="43"/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34"/>
      <c r="C35" s="35"/>
      <c r="D35" s="47"/>
      <c r="E35" s="47"/>
      <c r="F35" s="39"/>
      <c r="G35" s="44"/>
      <c r="H35" s="47"/>
      <c r="I35" s="44"/>
      <c r="J35" s="43"/>
      <c r="K35" s="43"/>
      <c r="L35" s="43"/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34"/>
      <c r="C36" s="35"/>
      <c r="D36" s="47"/>
      <c r="E36" s="47"/>
      <c r="F36" s="39"/>
      <c r="G36" s="44"/>
      <c r="H36" s="47"/>
      <c r="I36" s="44"/>
      <c r="J36" s="43"/>
      <c r="K36" s="43"/>
      <c r="L36" s="43"/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34"/>
      <c r="C37" s="35"/>
      <c r="D37" s="47"/>
      <c r="E37" s="47"/>
      <c r="F37" s="39"/>
      <c r="G37" s="44"/>
      <c r="H37" s="47"/>
      <c r="I37" s="44"/>
      <c r="J37" s="43"/>
      <c r="K37" s="43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34"/>
      <c r="C38" s="35"/>
      <c r="D38" s="47"/>
      <c r="E38" s="47"/>
      <c r="F38" s="39"/>
      <c r="G38" s="44"/>
      <c r="H38" s="47"/>
      <c r="I38" s="44"/>
      <c r="J38" s="43"/>
      <c r="K38" s="43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34"/>
      <c r="C39" s="35"/>
      <c r="D39" s="47"/>
      <c r="E39" s="47"/>
      <c r="F39" s="39"/>
      <c r="G39" s="44"/>
      <c r="H39" s="47"/>
      <c r="I39" s="44"/>
      <c r="J39" s="43"/>
      <c r="K39" s="43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34"/>
      <c r="C40" s="35"/>
      <c r="D40" s="47"/>
      <c r="E40" s="47"/>
      <c r="F40" s="39"/>
      <c r="G40" s="44"/>
      <c r="H40" s="47"/>
      <c r="I40" s="44"/>
      <c r="J40" s="43"/>
      <c r="K40" s="43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34"/>
      <c r="C41" s="35"/>
      <c r="D41" s="47"/>
      <c r="E41" s="47"/>
      <c r="F41" s="39"/>
      <c r="G41" s="44"/>
      <c r="H41" s="47"/>
      <c r="I41" s="44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34"/>
      <c r="C42" s="35"/>
      <c r="D42" s="47"/>
      <c r="E42" s="47"/>
      <c r="F42" s="39"/>
      <c r="G42" s="44"/>
      <c r="H42" s="47"/>
      <c r="I42" s="44"/>
      <c r="J42" s="43"/>
      <c r="K42" s="43"/>
      <c r="L42" s="43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34"/>
      <c r="C43" s="35"/>
      <c r="D43" s="47"/>
      <c r="E43" s="47"/>
      <c r="F43" s="39"/>
      <c r="G43" s="44"/>
      <c r="H43" s="47"/>
      <c r="I43" s="44"/>
      <c r="J43" s="43"/>
      <c r="K43" s="43"/>
      <c r="L43" s="43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34"/>
      <c r="C44" s="35"/>
      <c r="D44" s="47"/>
      <c r="E44" s="47"/>
      <c r="F44" s="39"/>
      <c r="G44" s="44"/>
      <c r="H44" s="47"/>
      <c r="I44" s="44"/>
      <c r="J44" s="43"/>
      <c r="K44" s="43"/>
      <c r="L44" s="43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34"/>
      <c r="C45" s="35"/>
      <c r="D45" s="47"/>
      <c r="E45" s="47"/>
      <c r="F45" s="39"/>
      <c r="G45" s="44"/>
      <c r="H45" s="47"/>
      <c r="I45" s="44"/>
      <c r="J45" s="43"/>
      <c r="K45" s="43"/>
      <c r="L45" s="43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34"/>
      <c r="C46" s="35"/>
      <c r="D46" s="47"/>
      <c r="E46" s="47"/>
      <c r="F46" s="39"/>
      <c r="G46" s="44"/>
      <c r="H46" s="47"/>
      <c r="I46" s="44"/>
      <c r="J46" s="43"/>
      <c r="K46" s="43"/>
      <c r="L46" s="43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34"/>
      <c r="C47" s="35"/>
      <c r="D47" s="47"/>
      <c r="E47" s="47"/>
      <c r="F47" s="39"/>
      <c r="G47" s="44"/>
      <c r="H47" s="47"/>
      <c r="I47" s="44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34"/>
      <c r="C48" s="35"/>
      <c r="D48" s="47"/>
      <c r="E48" s="47"/>
      <c r="F48" s="39"/>
      <c r="G48" s="44"/>
      <c r="H48" s="47"/>
      <c r="I48" s="44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34"/>
      <c r="C49" s="53"/>
      <c r="D49" s="54"/>
      <c r="E49" s="54"/>
      <c r="F49" s="39"/>
      <c r="G49" s="44"/>
      <c r="H49" s="54"/>
      <c r="I49" s="44"/>
      <c r="J49" s="55"/>
      <c r="K49" s="55"/>
      <c r="L49" s="107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34"/>
      <c r="C50" s="35"/>
      <c r="D50" s="47"/>
      <c r="E50" s="47"/>
      <c r="F50" s="39"/>
      <c r="G50" s="44"/>
      <c r="H50" s="47"/>
      <c r="I50" s="44"/>
      <c r="J50" s="43"/>
      <c r="K50" s="43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34"/>
      <c r="C51" s="35"/>
      <c r="D51" s="47"/>
      <c r="E51" s="47"/>
      <c r="F51" s="39"/>
      <c r="G51" s="44"/>
      <c r="H51" s="47"/>
      <c r="I51" s="44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34"/>
      <c r="C52" s="35"/>
      <c r="D52" s="47"/>
      <c r="E52" s="47"/>
      <c r="F52" s="39"/>
      <c r="G52" s="44"/>
      <c r="H52" s="47"/>
      <c r="I52" s="44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34"/>
      <c r="C53" s="35"/>
      <c r="D53" s="47"/>
      <c r="E53" s="47"/>
      <c r="F53" s="39"/>
      <c r="G53" s="44"/>
      <c r="H53" s="47"/>
      <c r="I53" s="44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34"/>
      <c r="C54" s="35"/>
      <c r="D54" s="47"/>
      <c r="E54" s="47"/>
      <c r="F54" s="39"/>
      <c r="G54" s="44"/>
      <c r="H54" s="47"/>
      <c r="I54" s="44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34"/>
      <c r="C55" s="35"/>
      <c r="D55" s="47"/>
      <c r="E55" s="47"/>
      <c r="F55" s="39"/>
      <c r="G55" s="44"/>
      <c r="H55" s="47"/>
      <c r="I55" s="44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34"/>
      <c r="C56" s="35"/>
      <c r="D56" s="47"/>
      <c r="E56" s="47"/>
      <c r="F56" s="39"/>
      <c r="G56" s="44"/>
      <c r="H56" s="47"/>
      <c r="I56" s="44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34"/>
      <c r="C57" s="35"/>
      <c r="D57" s="47"/>
      <c r="E57" s="47"/>
      <c r="F57" s="39"/>
      <c r="G57" s="44"/>
      <c r="H57" s="47"/>
      <c r="I57" s="44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34"/>
      <c r="C58" s="35"/>
      <c r="D58" s="47"/>
      <c r="E58" s="47"/>
      <c r="F58" s="39"/>
      <c r="G58" s="44"/>
      <c r="H58" s="47"/>
      <c r="I58" s="44"/>
      <c r="J58" s="43"/>
      <c r="K58" s="43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34"/>
      <c r="C59" s="35"/>
      <c r="D59" s="47"/>
      <c r="E59" s="47"/>
      <c r="F59" s="39"/>
      <c r="G59" s="44"/>
      <c r="H59" s="47"/>
      <c r="I59" s="44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34"/>
      <c r="C60" s="35"/>
      <c r="D60" s="47"/>
      <c r="E60" s="47"/>
      <c r="F60" s="39"/>
      <c r="G60" s="44"/>
      <c r="H60" s="47"/>
      <c r="I60" s="44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34"/>
      <c r="C61" s="35"/>
      <c r="D61" s="47"/>
      <c r="E61" s="47"/>
      <c r="F61" s="39"/>
      <c r="G61" s="44"/>
      <c r="H61" s="47"/>
      <c r="I61" s="44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34"/>
      <c r="C62" s="35"/>
      <c r="D62" s="47"/>
      <c r="E62" s="47"/>
      <c r="F62" s="39"/>
      <c r="G62" s="44"/>
      <c r="H62" s="47"/>
      <c r="I62" s="44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34"/>
      <c r="C63" s="35"/>
      <c r="D63" s="47"/>
      <c r="E63" s="47"/>
      <c r="F63" s="39"/>
      <c r="G63" s="44"/>
      <c r="H63" s="47"/>
      <c r="I63" s="44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34"/>
      <c r="C64" s="35"/>
      <c r="D64" s="47"/>
      <c r="E64" s="47"/>
      <c r="F64" s="39"/>
      <c r="G64" s="44"/>
      <c r="H64" s="47"/>
      <c r="I64" s="44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34"/>
      <c r="C65" s="35"/>
      <c r="D65" s="47"/>
      <c r="E65" s="47"/>
      <c r="F65" s="39"/>
      <c r="G65" s="44"/>
      <c r="H65" s="47"/>
      <c r="I65" s="44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34"/>
      <c r="C66" s="35"/>
      <c r="D66" s="47"/>
      <c r="E66" s="47"/>
      <c r="F66" s="39"/>
      <c r="G66" s="44"/>
      <c r="H66" s="47"/>
      <c r="I66" s="44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34"/>
      <c r="C67" s="35"/>
      <c r="D67" s="47"/>
      <c r="E67" s="47"/>
      <c r="F67" s="39"/>
      <c r="G67" s="44"/>
      <c r="H67" s="47"/>
      <c r="I67" s="44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34"/>
      <c r="C68" s="35"/>
      <c r="D68" s="47"/>
      <c r="E68" s="47"/>
      <c r="F68" s="39"/>
      <c r="G68" s="44"/>
      <c r="H68" s="47"/>
      <c r="I68" s="44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34"/>
      <c r="C69" s="35"/>
      <c r="D69" s="47"/>
      <c r="E69" s="47"/>
      <c r="F69" s="39"/>
      <c r="G69" s="44"/>
      <c r="H69" s="47"/>
      <c r="I69" s="44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34"/>
      <c r="C70" s="35"/>
      <c r="D70" s="47"/>
      <c r="E70" s="47"/>
      <c r="F70" s="39"/>
      <c r="G70" s="44"/>
      <c r="H70" s="47"/>
      <c r="I70" s="44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34"/>
      <c r="C71" s="35"/>
      <c r="D71" s="47"/>
      <c r="E71" s="47"/>
      <c r="F71" s="39"/>
      <c r="G71" s="44"/>
      <c r="H71" s="47"/>
      <c r="I71" s="44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34"/>
      <c r="C72" s="35"/>
      <c r="D72" s="47"/>
      <c r="E72" s="47"/>
      <c r="F72" s="39"/>
      <c r="G72" s="44"/>
      <c r="H72" s="47"/>
      <c r="I72" s="44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34"/>
      <c r="C73" s="35"/>
      <c r="D73" s="47"/>
      <c r="E73" s="47"/>
      <c r="F73" s="39"/>
      <c r="G73" s="44"/>
      <c r="H73" s="47"/>
      <c r="I73" s="44"/>
      <c r="J73" s="43"/>
      <c r="K73" s="43"/>
      <c r="L73" s="43"/>
      <c r="M73" s="4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34"/>
      <c r="C74" s="35"/>
      <c r="D74" s="47"/>
      <c r="E74" s="47"/>
      <c r="F74" s="39"/>
      <c r="G74" s="44"/>
      <c r="H74" s="47"/>
      <c r="I74" s="44"/>
      <c r="J74" s="43"/>
      <c r="K74" s="43"/>
      <c r="L74" s="43"/>
      <c r="M74" s="4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34"/>
      <c r="C75" s="35"/>
      <c r="D75" s="47"/>
      <c r="E75" s="47"/>
      <c r="F75" s="39"/>
      <c r="G75" s="44"/>
      <c r="H75" s="47"/>
      <c r="I75" s="44"/>
      <c r="J75" s="43"/>
      <c r="K75" s="43"/>
      <c r="L75" s="43"/>
      <c r="M75" s="43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34"/>
      <c r="C76" s="35"/>
      <c r="D76" s="47"/>
      <c r="E76" s="47"/>
      <c r="F76" s="39"/>
      <c r="G76" s="44"/>
      <c r="H76" s="47"/>
      <c r="I76" s="44"/>
      <c r="J76" s="43"/>
      <c r="K76" s="43"/>
      <c r="L76" s="43"/>
      <c r="M76" s="43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34"/>
      <c r="C77" s="35"/>
      <c r="D77" s="47"/>
      <c r="E77" s="47"/>
      <c r="F77" s="39"/>
      <c r="G77" s="44"/>
      <c r="H77" s="47"/>
      <c r="I77" s="44"/>
      <c r="J77" s="43"/>
      <c r="K77" s="43"/>
      <c r="L77" s="43"/>
      <c r="M77" s="43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34"/>
      <c r="C78" s="35"/>
      <c r="D78" s="47"/>
      <c r="E78" s="47"/>
      <c r="F78" s="39"/>
      <c r="G78" s="44"/>
      <c r="H78" s="47"/>
      <c r="I78" s="44"/>
      <c r="J78" s="43"/>
      <c r="K78" s="43"/>
      <c r="L78" s="43"/>
      <c r="M78" s="43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34"/>
      <c r="C79" s="35"/>
      <c r="D79" s="47"/>
      <c r="E79" s="47"/>
      <c r="F79" s="39"/>
      <c r="G79" s="44"/>
      <c r="H79" s="47"/>
      <c r="I79" s="44"/>
      <c r="J79" s="43"/>
      <c r="K79" s="43"/>
      <c r="L79" s="43"/>
      <c r="M79" s="43">
        <f t="shared" ref="M79:M80" si="2">(K79-J79)*E79</f>
        <v>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34"/>
      <c r="C80" s="35"/>
      <c r="D80" s="47"/>
      <c r="E80" s="47"/>
      <c r="F80" s="39"/>
      <c r="G80" s="44"/>
      <c r="H80" s="47"/>
      <c r="I80" s="44"/>
      <c r="J80" s="43"/>
      <c r="K80" s="43"/>
      <c r="L80" s="43"/>
      <c r="M80" s="43">
        <f t="shared" si="2"/>
        <v>0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6" t="s">
        <v>38</v>
      </c>
      <c r="D82" s="57"/>
      <c r="E82" s="57"/>
      <c r="F82" s="57"/>
      <c r="G82" s="5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9"/>
      <c r="G83" s="60"/>
      <c r="H83" s="43">
        <v>0.0</v>
      </c>
      <c r="I83" s="61" t="s">
        <v>39</v>
      </c>
      <c r="J83" s="62"/>
      <c r="K83" s="62"/>
      <c r="L83" s="62"/>
      <c r="M83" s="63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64"/>
      <c r="D84" s="65"/>
      <c r="E84" s="65"/>
      <c r="F84" s="65"/>
      <c r="G84" s="66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5"/>
      <c r="C85" s="67" t="s">
        <v>40</v>
      </c>
      <c r="D85" s="62"/>
      <c r="E85" s="62"/>
      <c r="F85" s="62"/>
      <c r="G85" s="14"/>
      <c r="H85" s="68" t="str">
        <f>SUM(#REF!)</f>
        <v>#REF!</v>
      </c>
      <c r="I85" s="69" t="s">
        <v>41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9.5" customHeight="1">
      <c r="A87" s="5"/>
      <c r="B87" s="5"/>
      <c r="C87" s="67" t="s">
        <v>42</v>
      </c>
      <c r="D87" s="62"/>
      <c r="E87" s="62"/>
      <c r="F87" s="62"/>
      <c r="G87" s="63"/>
      <c r="H87" s="68" t="str">
        <f>H83+H85</f>
        <v>#REF!</v>
      </c>
      <c r="I87" s="69" t="s">
        <v>41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75" customHeight="1">
      <c r="A89" s="5"/>
      <c r="B89" s="5"/>
      <c r="C89" s="67" t="s">
        <v>43</v>
      </c>
      <c r="D89" s="62"/>
      <c r="E89" s="62"/>
      <c r="F89" s="62"/>
      <c r="G89" s="63"/>
      <c r="H89" s="68" t="str">
        <f>IF(H87&lt;=20000,H85,IF(H83&gt;20000,0,20000-H83))</f>
        <v>#REF!</v>
      </c>
      <c r="I89" s="69" t="s">
        <v>41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5"/>
      <c r="C91" s="67" t="s">
        <v>44</v>
      </c>
      <c r="D91" s="62"/>
      <c r="E91" s="62"/>
      <c r="F91" s="62"/>
      <c r="G91" s="14"/>
      <c r="H91" s="68" t="str">
        <f>IF(H87&gt;20000,H87-H83-H89,0)</f>
        <v>#REF!</v>
      </c>
      <c r="I91" s="69" t="s">
        <v>41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7.25" customHeight="1">
      <c r="A93" s="5"/>
      <c r="B93" s="5"/>
      <c r="C93" s="70" t="s">
        <v>45</v>
      </c>
      <c r="D93" s="71">
        <v>3.79</v>
      </c>
      <c r="E93" s="72" t="s">
        <v>46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5"/>
      <c r="B94" s="5"/>
      <c r="C94" s="32"/>
      <c r="D94" s="71">
        <v>2.23</v>
      </c>
      <c r="E94" s="72" t="s">
        <v>47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30.0" customHeight="1">
      <c r="A96" s="5"/>
      <c r="B96" s="5"/>
      <c r="C96" s="73" t="s">
        <v>48</v>
      </c>
      <c r="D96" s="62"/>
      <c r="E96" s="62"/>
      <c r="F96" s="14"/>
      <c r="G96" s="74" t="str">
        <f>(H89*D93)+(H91*D94)</f>
        <v>#REF!</v>
      </c>
      <c r="H96" s="12"/>
      <c r="I96" s="69" t="s">
        <v>41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75" t="s">
        <v>49</v>
      </c>
      <c r="D98" s="76"/>
      <c r="E98" s="77"/>
      <c r="F98" s="78"/>
      <c r="G98" s="76"/>
      <c r="H98" s="76"/>
      <c r="I98" s="77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79"/>
      <c r="D99" s="65"/>
      <c r="E99" s="80"/>
      <c r="F99" s="79"/>
      <c r="G99" s="65"/>
      <c r="H99" s="65"/>
      <c r="I99" s="80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3.25" customHeight="1">
      <c r="A100" s="5"/>
      <c r="B100" s="5"/>
      <c r="C100" s="81" t="s">
        <v>50</v>
      </c>
      <c r="D100" s="15"/>
      <c r="E100" s="12"/>
      <c r="F100" s="82"/>
      <c r="G100" s="15"/>
      <c r="H100" s="15"/>
      <c r="I100" s="12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30">
    <mergeCell ref="A5:D5"/>
    <mergeCell ref="B7:M7"/>
    <mergeCell ref="C9:D9"/>
    <mergeCell ref="H9:I9"/>
    <mergeCell ref="J9:M9"/>
    <mergeCell ref="C10:D10"/>
    <mergeCell ref="H10:I10"/>
    <mergeCell ref="J10:M10"/>
    <mergeCell ref="B14:M14"/>
    <mergeCell ref="B16:B17"/>
    <mergeCell ref="C16:C17"/>
    <mergeCell ref="D16:E16"/>
    <mergeCell ref="H16:I16"/>
    <mergeCell ref="J16:K16"/>
    <mergeCell ref="F16:G16"/>
    <mergeCell ref="C82:G84"/>
    <mergeCell ref="I83:M83"/>
    <mergeCell ref="C85:G85"/>
    <mergeCell ref="C87:G87"/>
    <mergeCell ref="C89:G89"/>
    <mergeCell ref="C91:G91"/>
    <mergeCell ref="C100:E100"/>
    <mergeCell ref="F100:I100"/>
    <mergeCell ref="C93:C94"/>
    <mergeCell ref="E93:I93"/>
    <mergeCell ref="E94:I94"/>
    <mergeCell ref="C96:F96"/>
    <mergeCell ref="G96:H96"/>
    <mergeCell ref="C98:E99"/>
    <mergeCell ref="F98:I99"/>
  </mergeCells>
  <dataValidations>
    <dataValidation type="decimal" allowBlank="1" showInputMessage="1" showErrorMessage="1" prompt="Ugyldigt tal - Tallet på kilometertælleren skal være mellem 0 and 999.999,9" sqref="J18:K30 J32:K32">
      <formula1>0.0</formula1>
      <formula2>999999.9</formula2>
    </dataValidation>
  </dataValidations>
  <hyperlinks>
    <hyperlink r:id="rId1" ref="A13"/>
  </hyperlinks>
  <printOptions/>
  <pageMargins bottom="0.75" footer="0.0" header="0.0" left="0.7" right="0.7" top="0.75"/>
  <pageSetup orientation="landscape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0.13"/>
    <col customWidth="1" min="3" max="3" width="62.25"/>
    <col customWidth="1" min="4" max="4" width="12.25"/>
    <col customWidth="1" min="5" max="5" width="12.38"/>
    <col customWidth="1" min="6" max="6" width="20.88"/>
    <col customWidth="1" min="7" max="7" width="11.25"/>
    <col customWidth="1" min="8" max="8" width="19.38"/>
    <col customWidth="1" min="9" max="9" width="11.63"/>
    <col customWidth="1" min="10" max="10" width="13.38"/>
    <col customWidth="1" min="11" max="11" width="14.13"/>
    <col customWidth="1" min="12" max="13" width="14.5"/>
    <col customWidth="1" min="14" max="14" width="19.5"/>
    <col customWidth="1" min="15" max="26" width="8.75"/>
  </cols>
  <sheetData>
    <row r="1" ht="12.75" customHeight="1">
      <c r="A1" s="5"/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9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8"/>
      <c r="B9" s="10" t="s">
        <v>4</v>
      </c>
      <c r="C9" s="88">
        <v>45717.0</v>
      </c>
      <c r="D9" s="12"/>
      <c r="E9" s="9"/>
      <c r="F9" s="9"/>
      <c r="G9" s="9"/>
      <c r="H9" s="13" t="s">
        <v>6</v>
      </c>
      <c r="I9" s="14"/>
      <c r="J9" s="11" t="s">
        <v>7</v>
      </c>
      <c r="K9" s="15"/>
      <c r="L9" s="15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8"/>
      <c r="B10" s="16" t="s">
        <v>8</v>
      </c>
      <c r="C10" s="101" t="s">
        <v>63</v>
      </c>
      <c r="D10" s="12"/>
      <c r="E10" s="9"/>
      <c r="F10" s="9"/>
      <c r="G10" s="9"/>
      <c r="H10" s="13" t="s">
        <v>10</v>
      </c>
      <c r="I10" s="14"/>
      <c r="J10" s="17" t="s">
        <v>11</v>
      </c>
      <c r="K10" s="18"/>
      <c r="L10" s="18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20" t="s">
        <v>12</v>
      </c>
      <c r="K11" s="21">
        <f>SUM(L18:L36)</f>
        <v>1650</v>
      </c>
      <c r="L11" s="9"/>
      <c r="M11" s="9"/>
      <c r="N11" s="100" t="s">
        <v>85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8"/>
      <c r="B12" s="9"/>
      <c r="C12" s="9"/>
      <c r="D12" s="9"/>
      <c r="E12" s="9"/>
      <c r="F12" s="9"/>
      <c r="G12" s="9"/>
      <c r="H12" s="9"/>
      <c r="I12" s="9"/>
      <c r="J12" s="20" t="s">
        <v>13</v>
      </c>
      <c r="K12" s="89">
        <v>3.81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90" t="s">
        <v>53</v>
      </c>
      <c r="B13" s="8"/>
      <c r="C13" s="8"/>
      <c r="D13" s="8"/>
      <c r="E13" s="5"/>
      <c r="F13" s="5"/>
      <c r="G13" s="5"/>
      <c r="H13" s="5"/>
      <c r="I13" s="5"/>
      <c r="J13" s="20" t="s">
        <v>15</v>
      </c>
      <c r="K13" s="22">
        <f>SUM(K11*K12)</f>
        <v>6286.5</v>
      </c>
      <c r="L13" s="10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24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27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5.25" customHeight="1">
      <c r="A16" s="5"/>
      <c r="B16" s="29" t="s">
        <v>17</v>
      </c>
      <c r="C16" s="30" t="s">
        <v>18</v>
      </c>
      <c r="D16" s="31" t="s">
        <v>19</v>
      </c>
      <c r="E16" s="26"/>
      <c r="F16" s="31" t="s">
        <v>20</v>
      </c>
      <c r="G16" s="26"/>
      <c r="H16" s="31" t="s">
        <v>21</v>
      </c>
      <c r="I16" s="26"/>
      <c r="J16" s="31" t="s">
        <v>22</v>
      </c>
      <c r="K16" s="26"/>
      <c r="L16" s="104"/>
      <c r="M16" s="10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32"/>
      <c r="C17" s="32"/>
      <c r="D17" s="33" t="s">
        <v>24</v>
      </c>
      <c r="E17" s="33" t="s">
        <v>25</v>
      </c>
      <c r="F17" s="33" t="s">
        <v>26</v>
      </c>
      <c r="G17" s="33" t="s">
        <v>27</v>
      </c>
      <c r="H17" s="33" t="s">
        <v>26</v>
      </c>
      <c r="I17" s="33" t="s">
        <v>27</v>
      </c>
      <c r="J17" s="33" t="s">
        <v>28</v>
      </c>
      <c r="K17" s="33" t="s">
        <v>29</v>
      </c>
      <c r="L17" s="105" t="s">
        <v>24</v>
      </c>
      <c r="M17" s="33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5"/>
      <c r="B18" s="102">
        <v>45719.0</v>
      </c>
      <c r="C18" s="125" t="s">
        <v>102</v>
      </c>
      <c r="D18" s="126">
        <v>1.0</v>
      </c>
      <c r="E18" s="127"/>
      <c r="F18" s="1" t="s">
        <v>31</v>
      </c>
      <c r="G18" s="40">
        <v>2791.0</v>
      </c>
      <c r="H18" s="1" t="s">
        <v>103</v>
      </c>
      <c r="I18" s="108">
        <v>1434.0</v>
      </c>
      <c r="J18" s="128">
        <v>19.0</v>
      </c>
      <c r="K18" s="129">
        <v>19.0</v>
      </c>
      <c r="L18" s="132">
        <f t="shared" ref="L18:L36" si="1">SUM(J18:K18)</f>
        <v>38</v>
      </c>
      <c r="M18" s="130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5"/>
      <c r="B19" s="102">
        <v>45720.0</v>
      </c>
      <c r="C19" s="93" t="s">
        <v>102</v>
      </c>
      <c r="D19" s="94">
        <v>1.0</v>
      </c>
      <c r="E19" s="47"/>
      <c r="F19" s="1" t="s">
        <v>31</v>
      </c>
      <c r="G19" s="40">
        <v>2791.0</v>
      </c>
      <c r="H19" s="95" t="s">
        <v>103</v>
      </c>
      <c r="I19" s="108">
        <v>1434.0</v>
      </c>
      <c r="J19" s="96">
        <v>19.0</v>
      </c>
      <c r="K19" s="97">
        <v>19.0</v>
      </c>
      <c r="L19" s="132">
        <f t="shared" si="1"/>
        <v>38</v>
      </c>
      <c r="M19" s="4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102">
        <v>45721.0</v>
      </c>
      <c r="C20" s="125" t="s">
        <v>102</v>
      </c>
      <c r="D20" s="126">
        <v>1.0</v>
      </c>
      <c r="E20" s="127"/>
      <c r="F20" s="1" t="s">
        <v>31</v>
      </c>
      <c r="G20" s="40">
        <v>2791.0</v>
      </c>
      <c r="H20" s="1" t="s">
        <v>103</v>
      </c>
      <c r="I20" s="108">
        <v>1434.0</v>
      </c>
      <c r="J20" s="128">
        <v>19.0</v>
      </c>
      <c r="K20" s="129">
        <v>19.0</v>
      </c>
      <c r="L20" s="132">
        <f t="shared" si="1"/>
        <v>38</v>
      </c>
      <c r="M20" s="4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102">
        <v>45722.0</v>
      </c>
      <c r="C21" s="93" t="s">
        <v>102</v>
      </c>
      <c r="D21" s="94">
        <v>1.0</v>
      </c>
      <c r="E21" s="47"/>
      <c r="F21" s="1" t="s">
        <v>31</v>
      </c>
      <c r="G21" s="40">
        <v>2791.0</v>
      </c>
      <c r="H21" s="95" t="s">
        <v>103</v>
      </c>
      <c r="I21" s="108">
        <v>1434.0</v>
      </c>
      <c r="J21" s="96">
        <v>19.0</v>
      </c>
      <c r="K21" s="97">
        <v>19.0</v>
      </c>
      <c r="L21" s="132">
        <f t="shared" si="1"/>
        <v>38</v>
      </c>
      <c r="M21" s="4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B22" s="102">
        <v>45723.0</v>
      </c>
      <c r="C22" s="125" t="s">
        <v>102</v>
      </c>
      <c r="D22" s="126">
        <v>1.0</v>
      </c>
      <c r="E22" s="127"/>
      <c r="F22" s="1" t="s">
        <v>31</v>
      </c>
      <c r="G22" s="40">
        <v>2791.0</v>
      </c>
      <c r="H22" s="1" t="s">
        <v>103</v>
      </c>
      <c r="I22" s="108">
        <v>1434.0</v>
      </c>
      <c r="J22" s="128">
        <v>19.0</v>
      </c>
      <c r="K22" s="129">
        <v>19.0</v>
      </c>
      <c r="L22" s="132">
        <f t="shared" si="1"/>
        <v>38</v>
      </c>
    </row>
    <row r="23" ht="12.75" customHeight="1">
      <c r="A23" s="5"/>
      <c r="B23" s="102">
        <v>45726.0</v>
      </c>
      <c r="C23" s="93" t="s">
        <v>92</v>
      </c>
      <c r="D23" s="94">
        <v>1.0</v>
      </c>
      <c r="E23" s="47"/>
      <c r="F23" s="1" t="s">
        <v>31</v>
      </c>
      <c r="G23" s="44">
        <v>2791.0</v>
      </c>
      <c r="H23" s="95" t="s">
        <v>99</v>
      </c>
      <c r="I23" s="108">
        <v>2730.0</v>
      </c>
      <c r="J23" s="96">
        <v>40.0</v>
      </c>
      <c r="K23" s="97">
        <v>40.0</v>
      </c>
      <c r="L23" s="132">
        <f t="shared" si="1"/>
        <v>80</v>
      </c>
      <c r="M23" s="4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102">
        <v>45727.0</v>
      </c>
      <c r="C24" s="93" t="s">
        <v>92</v>
      </c>
      <c r="D24" s="94">
        <v>1.0</v>
      </c>
      <c r="E24" s="47"/>
      <c r="F24" s="1" t="s">
        <v>31</v>
      </c>
      <c r="G24" s="44">
        <v>2791.0</v>
      </c>
      <c r="H24" s="95" t="s">
        <v>99</v>
      </c>
      <c r="I24" s="108">
        <v>2730.0</v>
      </c>
      <c r="J24" s="96">
        <v>40.0</v>
      </c>
      <c r="K24" s="97">
        <v>40.0</v>
      </c>
      <c r="L24" s="132">
        <f t="shared" si="1"/>
        <v>80</v>
      </c>
      <c r="M24" s="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102">
        <v>45728.0</v>
      </c>
      <c r="C25" s="93" t="s">
        <v>102</v>
      </c>
      <c r="D25" s="94">
        <v>1.0</v>
      </c>
      <c r="E25" s="47"/>
      <c r="F25" s="1" t="s">
        <v>31</v>
      </c>
      <c r="G25" s="40">
        <v>2791.0</v>
      </c>
      <c r="H25" s="95" t="s">
        <v>103</v>
      </c>
      <c r="I25" s="108">
        <v>1434.0</v>
      </c>
      <c r="J25" s="96">
        <v>19.0</v>
      </c>
      <c r="K25" s="97">
        <v>19.0</v>
      </c>
      <c r="L25" s="132">
        <f t="shared" si="1"/>
        <v>38</v>
      </c>
      <c r="M25" s="4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102">
        <v>45729.0</v>
      </c>
      <c r="C26" s="93" t="s">
        <v>102</v>
      </c>
      <c r="D26" s="94">
        <v>1.0</v>
      </c>
      <c r="E26" s="47"/>
      <c r="F26" s="1" t="s">
        <v>31</v>
      </c>
      <c r="G26" s="40">
        <v>2791.0</v>
      </c>
      <c r="H26" s="95" t="s">
        <v>103</v>
      </c>
      <c r="I26" s="108">
        <v>1434.0</v>
      </c>
      <c r="J26" s="96">
        <v>19.0</v>
      </c>
      <c r="K26" s="96">
        <v>19.0</v>
      </c>
      <c r="L26" s="132">
        <f t="shared" si="1"/>
        <v>38</v>
      </c>
      <c r="M26" s="4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102">
        <v>45730.0</v>
      </c>
      <c r="C27" s="1" t="s">
        <v>92</v>
      </c>
      <c r="D27" s="1">
        <v>1.0</v>
      </c>
      <c r="F27" s="1" t="s">
        <v>31</v>
      </c>
      <c r="G27" s="1">
        <v>2791.0</v>
      </c>
      <c r="H27" s="1" t="s">
        <v>99</v>
      </c>
      <c r="I27" s="1">
        <v>2730.0</v>
      </c>
      <c r="J27" s="1">
        <v>40.0</v>
      </c>
      <c r="K27" s="1">
        <v>40.0</v>
      </c>
      <c r="L27" s="132">
        <f t="shared" si="1"/>
        <v>80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102">
        <v>45733.0</v>
      </c>
      <c r="C28" s="93" t="s">
        <v>102</v>
      </c>
      <c r="D28" s="94">
        <v>1.0</v>
      </c>
      <c r="E28" s="47"/>
      <c r="F28" s="1" t="s">
        <v>31</v>
      </c>
      <c r="G28" s="40">
        <v>2791.0</v>
      </c>
      <c r="H28" s="95" t="s">
        <v>103</v>
      </c>
      <c r="I28" s="40">
        <v>1434.0</v>
      </c>
      <c r="J28" s="96">
        <v>19.0</v>
      </c>
      <c r="K28" s="97">
        <v>19.0</v>
      </c>
      <c r="L28" s="132">
        <f t="shared" si="1"/>
        <v>38</v>
      </c>
      <c r="M28" s="4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102">
        <v>45734.0</v>
      </c>
      <c r="C29" s="93" t="s">
        <v>92</v>
      </c>
      <c r="D29" s="133">
        <v>1.0</v>
      </c>
      <c r="E29" s="47"/>
      <c r="F29" s="95" t="s">
        <v>31</v>
      </c>
      <c r="G29" s="40">
        <v>2791.0</v>
      </c>
      <c r="H29" s="133" t="s">
        <v>99</v>
      </c>
      <c r="I29" s="40">
        <v>2730.0</v>
      </c>
      <c r="J29" s="98">
        <v>40.0</v>
      </c>
      <c r="K29" s="98">
        <v>40.0</v>
      </c>
      <c r="L29" s="132">
        <f t="shared" si="1"/>
        <v>80</v>
      </c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102">
        <v>45735.0</v>
      </c>
      <c r="C30" s="93" t="s">
        <v>102</v>
      </c>
      <c r="D30" s="133">
        <v>1.0</v>
      </c>
      <c r="E30" s="47"/>
      <c r="F30" s="95" t="s">
        <v>31</v>
      </c>
      <c r="G30" s="40">
        <v>2791.0</v>
      </c>
      <c r="H30" s="133" t="s">
        <v>103</v>
      </c>
      <c r="I30" s="40">
        <v>1434.0</v>
      </c>
      <c r="J30" s="98">
        <v>19.0</v>
      </c>
      <c r="K30" s="98">
        <v>19.0</v>
      </c>
      <c r="L30" s="132">
        <f t="shared" si="1"/>
        <v>38</v>
      </c>
      <c r="M30" s="4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102">
        <v>45736.0</v>
      </c>
      <c r="C31" s="93" t="s">
        <v>102</v>
      </c>
      <c r="D31" s="133">
        <v>1.0</v>
      </c>
      <c r="E31" s="47"/>
      <c r="F31" s="95" t="s">
        <v>31</v>
      </c>
      <c r="G31" s="40">
        <v>2791.0</v>
      </c>
      <c r="H31" s="133" t="s">
        <v>103</v>
      </c>
      <c r="I31" s="40">
        <v>1434.0</v>
      </c>
      <c r="J31" s="98">
        <v>19.0</v>
      </c>
      <c r="K31" s="98">
        <v>19.0</v>
      </c>
      <c r="L31" s="132">
        <f t="shared" si="1"/>
        <v>38</v>
      </c>
      <c r="M31" s="4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102">
        <v>45737.0</v>
      </c>
      <c r="C32" s="93" t="s">
        <v>102</v>
      </c>
      <c r="D32" s="133">
        <v>1.0</v>
      </c>
      <c r="E32" s="47"/>
      <c r="F32" s="95" t="s">
        <v>31</v>
      </c>
      <c r="G32" s="40">
        <v>2791.0</v>
      </c>
      <c r="H32" s="133" t="s">
        <v>103</v>
      </c>
      <c r="I32" s="40">
        <v>1434.0</v>
      </c>
      <c r="J32" s="98">
        <v>19.0</v>
      </c>
      <c r="K32" s="98">
        <v>19.0</v>
      </c>
      <c r="L32" s="132">
        <f t="shared" si="1"/>
        <v>38</v>
      </c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102">
        <v>45739.0</v>
      </c>
      <c r="C33" s="93" t="s">
        <v>108</v>
      </c>
      <c r="D33" s="133">
        <v>1.0</v>
      </c>
      <c r="E33" s="47"/>
      <c r="F33" s="95" t="s">
        <v>31</v>
      </c>
      <c r="G33" s="40">
        <v>2791.0</v>
      </c>
      <c r="H33" s="133" t="s">
        <v>109</v>
      </c>
      <c r="I33" s="40">
        <v>9900.0</v>
      </c>
      <c r="J33" s="98">
        <v>400.0</v>
      </c>
      <c r="K33" s="98">
        <v>400.0</v>
      </c>
      <c r="L33" s="132">
        <f t="shared" si="1"/>
        <v>800</v>
      </c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102">
        <v>45742.0</v>
      </c>
      <c r="C34" s="93" t="s">
        <v>102</v>
      </c>
      <c r="D34" s="133">
        <v>1.0</v>
      </c>
      <c r="E34" s="47"/>
      <c r="F34" s="95" t="s">
        <v>31</v>
      </c>
      <c r="G34" s="40">
        <v>2791.0</v>
      </c>
      <c r="H34" s="133" t="s">
        <v>103</v>
      </c>
      <c r="I34" s="40">
        <v>1434.0</v>
      </c>
      <c r="J34" s="98">
        <v>19.0</v>
      </c>
      <c r="K34" s="98">
        <v>19.0</v>
      </c>
      <c r="L34" s="132">
        <f t="shared" si="1"/>
        <v>38</v>
      </c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102">
        <v>45743.0</v>
      </c>
      <c r="C35" s="93" t="s">
        <v>102</v>
      </c>
      <c r="D35" s="133">
        <v>1.0</v>
      </c>
      <c r="E35" s="47"/>
      <c r="F35" s="95" t="s">
        <v>31</v>
      </c>
      <c r="G35" s="40">
        <v>2791.0</v>
      </c>
      <c r="H35" s="133" t="s">
        <v>103</v>
      </c>
      <c r="I35" s="40">
        <v>1434.0</v>
      </c>
      <c r="J35" s="98">
        <v>19.0</v>
      </c>
      <c r="K35" s="98">
        <v>19.0</v>
      </c>
      <c r="L35" s="132">
        <f t="shared" si="1"/>
        <v>38</v>
      </c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102">
        <v>45743.0</v>
      </c>
      <c r="C36" s="93" t="s">
        <v>110</v>
      </c>
      <c r="D36" s="133">
        <v>1.0</v>
      </c>
      <c r="E36" s="47"/>
      <c r="F36" s="95" t="s">
        <v>31</v>
      </c>
      <c r="G36" s="40">
        <v>2791.0</v>
      </c>
      <c r="H36" s="133" t="s">
        <v>111</v>
      </c>
      <c r="I36" s="40">
        <v>1560.0</v>
      </c>
      <c r="J36" s="98">
        <v>18.0</v>
      </c>
      <c r="K36" s="98">
        <v>18.0</v>
      </c>
      <c r="L36" s="132">
        <f t="shared" si="1"/>
        <v>36</v>
      </c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34"/>
      <c r="C37" s="35"/>
      <c r="D37" s="47"/>
      <c r="E37" s="47"/>
      <c r="F37" s="39"/>
      <c r="G37" s="44"/>
      <c r="H37" s="47"/>
      <c r="I37" s="44"/>
      <c r="J37" s="43"/>
      <c r="K37" s="43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34"/>
      <c r="C38" s="35"/>
      <c r="D38" s="47"/>
      <c r="E38" s="47"/>
      <c r="F38" s="39"/>
      <c r="G38" s="44"/>
      <c r="H38" s="47"/>
      <c r="I38" s="44"/>
      <c r="J38" s="43"/>
      <c r="K38" s="43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34"/>
      <c r="C39" s="35"/>
      <c r="D39" s="47"/>
      <c r="E39" s="47"/>
      <c r="F39" s="39"/>
      <c r="G39" s="44"/>
      <c r="H39" s="47"/>
      <c r="I39" s="44"/>
      <c r="J39" s="43"/>
      <c r="K39" s="43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34"/>
      <c r="C40" s="35"/>
      <c r="D40" s="47"/>
      <c r="E40" s="47"/>
      <c r="F40" s="39"/>
      <c r="G40" s="44"/>
      <c r="H40" s="47"/>
      <c r="I40" s="44"/>
      <c r="J40" s="43"/>
      <c r="K40" s="43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34"/>
      <c r="C41" s="35"/>
      <c r="D41" s="47"/>
      <c r="E41" s="47"/>
      <c r="F41" s="39"/>
      <c r="G41" s="44"/>
      <c r="H41" s="47"/>
      <c r="I41" s="44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34"/>
      <c r="C42" s="35"/>
      <c r="D42" s="47"/>
      <c r="E42" s="47"/>
      <c r="F42" s="39"/>
      <c r="G42" s="44"/>
      <c r="H42" s="47"/>
      <c r="I42" s="44"/>
      <c r="J42" s="43"/>
      <c r="K42" s="43"/>
      <c r="L42" s="43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34"/>
      <c r="C43" s="35"/>
      <c r="D43" s="47"/>
      <c r="E43" s="47"/>
      <c r="F43" s="39"/>
      <c r="G43" s="44"/>
      <c r="H43" s="47"/>
      <c r="I43" s="44"/>
      <c r="J43" s="43"/>
      <c r="K43" s="43"/>
      <c r="L43" s="43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34"/>
      <c r="C44" s="35"/>
      <c r="D44" s="47"/>
      <c r="E44" s="47"/>
      <c r="F44" s="39"/>
      <c r="G44" s="44"/>
      <c r="H44" s="47"/>
      <c r="I44" s="44"/>
      <c r="J44" s="43"/>
      <c r="K44" s="43"/>
      <c r="L44" s="43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34"/>
      <c r="C45" s="53"/>
      <c r="D45" s="54"/>
      <c r="E45" s="54"/>
      <c r="F45" s="39"/>
      <c r="G45" s="44"/>
      <c r="H45" s="54"/>
      <c r="I45" s="44"/>
      <c r="J45" s="55"/>
      <c r="K45" s="55"/>
      <c r="L45" s="107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34"/>
      <c r="C46" s="35"/>
      <c r="D46" s="47"/>
      <c r="E46" s="47"/>
      <c r="F46" s="39"/>
      <c r="G46" s="44"/>
      <c r="H46" s="47"/>
      <c r="I46" s="44"/>
      <c r="J46" s="43"/>
      <c r="K46" s="43"/>
      <c r="L46" s="43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34"/>
      <c r="C47" s="35"/>
      <c r="D47" s="47"/>
      <c r="E47" s="47"/>
      <c r="F47" s="39"/>
      <c r="G47" s="44"/>
      <c r="H47" s="47"/>
      <c r="I47" s="44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34"/>
      <c r="C48" s="35"/>
      <c r="D48" s="47"/>
      <c r="E48" s="47"/>
      <c r="F48" s="39"/>
      <c r="G48" s="44"/>
      <c r="H48" s="47"/>
      <c r="I48" s="44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34"/>
      <c r="C49" s="35"/>
      <c r="D49" s="47"/>
      <c r="E49" s="47"/>
      <c r="F49" s="39"/>
      <c r="G49" s="44"/>
      <c r="H49" s="47"/>
      <c r="I49" s="44"/>
      <c r="J49" s="43"/>
      <c r="K49" s="43"/>
      <c r="L49" s="43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34"/>
      <c r="C50" s="35"/>
      <c r="D50" s="47"/>
      <c r="E50" s="47"/>
      <c r="F50" s="39"/>
      <c r="G50" s="44"/>
      <c r="H50" s="47"/>
      <c r="I50" s="44"/>
      <c r="J50" s="43"/>
      <c r="K50" s="43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34"/>
      <c r="C51" s="35"/>
      <c r="D51" s="47"/>
      <c r="E51" s="47"/>
      <c r="F51" s="39"/>
      <c r="G51" s="44"/>
      <c r="H51" s="47"/>
      <c r="I51" s="44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34"/>
      <c r="C52" s="35"/>
      <c r="D52" s="47"/>
      <c r="E52" s="47"/>
      <c r="F52" s="39"/>
      <c r="G52" s="44"/>
      <c r="H52" s="47"/>
      <c r="I52" s="44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34"/>
      <c r="C53" s="35"/>
      <c r="D53" s="47"/>
      <c r="E53" s="47"/>
      <c r="F53" s="39"/>
      <c r="G53" s="44"/>
      <c r="H53" s="47"/>
      <c r="I53" s="44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34"/>
      <c r="C54" s="35"/>
      <c r="D54" s="47"/>
      <c r="E54" s="47"/>
      <c r="F54" s="39"/>
      <c r="G54" s="44"/>
      <c r="H54" s="47"/>
      <c r="I54" s="44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34"/>
      <c r="C55" s="35"/>
      <c r="D55" s="47"/>
      <c r="E55" s="47"/>
      <c r="F55" s="39"/>
      <c r="G55" s="44"/>
      <c r="H55" s="47"/>
      <c r="I55" s="44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34"/>
      <c r="C56" s="35"/>
      <c r="D56" s="47"/>
      <c r="E56" s="47"/>
      <c r="F56" s="39"/>
      <c r="G56" s="44"/>
      <c r="H56" s="47"/>
      <c r="I56" s="44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34"/>
      <c r="C57" s="35"/>
      <c r="D57" s="47"/>
      <c r="E57" s="47"/>
      <c r="F57" s="39"/>
      <c r="G57" s="44"/>
      <c r="H57" s="47"/>
      <c r="I57" s="44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34"/>
      <c r="C58" s="35"/>
      <c r="D58" s="47"/>
      <c r="E58" s="47"/>
      <c r="F58" s="39"/>
      <c r="G58" s="44"/>
      <c r="H58" s="47"/>
      <c r="I58" s="44"/>
      <c r="J58" s="43"/>
      <c r="K58" s="43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34"/>
      <c r="C59" s="35"/>
      <c r="D59" s="47"/>
      <c r="E59" s="47"/>
      <c r="F59" s="39"/>
      <c r="G59" s="44"/>
      <c r="H59" s="47"/>
      <c r="I59" s="44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34"/>
      <c r="C60" s="35"/>
      <c r="D60" s="47"/>
      <c r="E60" s="47"/>
      <c r="F60" s="39"/>
      <c r="G60" s="44"/>
      <c r="H60" s="47"/>
      <c r="I60" s="44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34"/>
      <c r="C61" s="35"/>
      <c r="D61" s="47"/>
      <c r="E61" s="47"/>
      <c r="F61" s="39"/>
      <c r="G61" s="44"/>
      <c r="H61" s="47"/>
      <c r="I61" s="44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34"/>
      <c r="C62" s="35"/>
      <c r="D62" s="47"/>
      <c r="E62" s="47"/>
      <c r="F62" s="39"/>
      <c r="G62" s="44"/>
      <c r="H62" s="47"/>
      <c r="I62" s="44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34"/>
      <c r="C63" s="35"/>
      <c r="D63" s="47"/>
      <c r="E63" s="47"/>
      <c r="F63" s="39"/>
      <c r="G63" s="44"/>
      <c r="H63" s="47"/>
      <c r="I63" s="44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34"/>
      <c r="C64" s="35"/>
      <c r="D64" s="47"/>
      <c r="E64" s="47"/>
      <c r="F64" s="39"/>
      <c r="G64" s="44"/>
      <c r="H64" s="47"/>
      <c r="I64" s="44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34"/>
      <c r="C65" s="35"/>
      <c r="D65" s="47"/>
      <c r="E65" s="47"/>
      <c r="F65" s="39"/>
      <c r="G65" s="44"/>
      <c r="H65" s="47"/>
      <c r="I65" s="44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34"/>
      <c r="C66" s="35"/>
      <c r="D66" s="47"/>
      <c r="E66" s="47"/>
      <c r="F66" s="39"/>
      <c r="G66" s="44"/>
      <c r="H66" s="47"/>
      <c r="I66" s="44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34"/>
      <c r="C67" s="35"/>
      <c r="D67" s="47"/>
      <c r="E67" s="47"/>
      <c r="F67" s="39"/>
      <c r="G67" s="44"/>
      <c r="H67" s="47"/>
      <c r="I67" s="44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34"/>
      <c r="C68" s="35"/>
      <c r="D68" s="47"/>
      <c r="E68" s="47"/>
      <c r="F68" s="39"/>
      <c r="G68" s="44"/>
      <c r="H68" s="47"/>
      <c r="I68" s="44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34"/>
      <c r="C69" s="35"/>
      <c r="D69" s="47"/>
      <c r="E69" s="47"/>
      <c r="F69" s="39"/>
      <c r="G69" s="44"/>
      <c r="H69" s="47"/>
      <c r="I69" s="44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34"/>
      <c r="C70" s="35"/>
      <c r="D70" s="47"/>
      <c r="E70" s="47"/>
      <c r="F70" s="39"/>
      <c r="G70" s="44"/>
      <c r="H70" s="47"/>
      <c r="I70" s="44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34"/>
      <c r="C71" s="35"/>
      <c r="D71" s="47"/>
      <c r="E71" s="47"/>
      <c r="F71" s="39"/>
      <c r="G71" s="44"/>
      <c r="H71" s="47"/>
      <c r="I71" s="44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34"/>
      <c r="C72" s="35"/>
      <c r="D72" s="47"/>
      <c r="E72" s="47"/>
      <c r="F72" s="39"/>
      <c r="G72" s="44"/>
      <c r="H72" s="47"/>
      <c r="I72" s="44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34"/>
      <c r="C73" s="35"/>
      <c r="D73" s="47"/>
      <c r="E73" s="47"/>
      <c r="F73" s="39"/>
      <c r="G73" s="44"/>
      <c r="H73" s="47"/>
      <c r="I73" s="44"/>
      <c r="J73" s="43"/>
      <c r="K73" s="43"/>
      <c r="L73" s="43"/>
      <c r="M73" s="4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34"/>
      <c r="C74" s="35"/>
      <c r="D74" s="47"/>
      <c r="E74" s="47"/>
      <c r="F74" s="39"/>
      <c r="G74" s="44"/>
      <c r="H74" s="47"/>
      <c r="I74" s="44"/>
      <c r="J74" s="43"/>
      <c r="K74" s="43"/>
      <c r="L74" s="43"/>
      <c r="M74" s="4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34"/>
      <c r="C75" s="35"/>
      <c r="D75" s="47"/>
      <c r="E75" s="47"/>
      <c r="F75" s="39"/>
      <c r="G75" s="44"/>
      <c r="H75" s="47"/>
      <c r="I75" s="44"/>
      <c r="J75" s="43"/>
      <c r="K75" s="43"/>
      <c r="L75" s="43"/>
      <c r="M75" s="43">
        <f t="shared" ref="M75:M76" si="2">(K75-J75)*E75</f>
        <v>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34"/>
      <c r="C76" s="35"/>
      <c r="D76" s="47"/>
      <c r="E76" s="47"/>
      <c r="F76" s="39"/>
      <c r="G76" s="44"/>
      <c r="H76" s="47"/>
      <c r="I76" s="44"/>
      <c r="J76" s="43"/>
      <c r="K76" s="43"/>
      <c r="L76" s="43"/>
      <c r="M76" s="43">
        <f t="shared" si="2"/>
        <v>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6" t="s">
        <v>38</v>
      </c>
      <c r="D78" s="57"/>
      <c r="E78" s="57"/>
      <c r="F78" s="57"/>
      <c r="G78" s="5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9"/>
      <c r="G79" s="60"/>
      <c r="H79" s="43">
        <v>0.0</v>
      </c>
      <c r="I79" s="61" t="s">
        <v>39</v>
      </c>
      <c r="J79" s="62"/>
      <c r="K79" s="62"/>
      <c r="L79" s="62"/>
      <c r="M79" s="6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64"/>
      <c r="D80" s="65"/>
      <c r="E80" s="65"/>
      <c r="F80" s="65"/>
      <c r="G80" s="6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5"/>
      <c r="C81" s="67" t="s">
        <v>40</v>
      </c>
      <c r="D81" s="62"/>
      <c r="E81" s="62"/>
      <c r="F81" s="62"/>
      <c r="G81" s="14"/>
      <c r="H81" s="68" t="str">
        <f>SUM(#REF!)</f>
        <v>#REF!</v>
      </c>
      <c r="I81" s="69" t="s">
        <v>41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5"/>
      <c r="B83" s="5"/>
      <c r="C83" s="67" t="s">
        <v>42</v>
      </c>
      <c r="D83" s="62"/>
      <c r="E83" s="62"/>
      <c r="F83" s="62"/>
      <c r="G83" s="63"/>
      <c r="H83" s="68" t="str">
        <f>H79+H81</f>
        <v>#REF!</v>
      </c>
      <c r="I83" s="69" t="s">
        <v>41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75" customHeight="1">
      <c r="A85" s="5"/>
      <c r="B85" s="5"/>
      <c r="C85" s="67" t="s">
        <v>43</v>
      </c>
      <c r="D85" s="62"/>
      <c r="E85" s="62"/>
      <c r="F85" s="62"/>
      <c r="G85" s="63"/>
      <c r="H85" s="68" t="str">
        <f>IF(H83&lt;=20000,H81,IF(H79&gt;20000,0,20000-H79))</f>
        <v>#REF!</v>
      </c>
      <c r="I85" s="69" t="s">
        <v>41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5"/>
      <c r="C87" s="67" t="s">
        <v>44</v>
      </c>
      <c r="D87" s="62"/>
      <c r="E87" s="62"/>
      <c r="F87" s="62"/>
      <c r="G87" s="14"/>
      <c r="H87" s="68" t="str">
        <f>IF(H83&gt;20000,H83-H79-H85,0)</f>
        <v>#REF!</v>
      </c>
      <c r="I87" s="69" t="s">
        <v>41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7.25" customHeight="1">
      <c r="A89" s="5"/>
      <c r="B89" s="5"/>
      <c r="C89" s="70" t="s">
        <v>45</v>
      </c>
      <c r="D89" s="71">
        <v>3.79</v>
      </c>
      <c r="E89" s="72" t="s">
        <v>46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32"/>
      <c r="D90" s="71">
        <v>2.23</v>
      </c>
      <c r="E90" s="72" t="s">
        <v>47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30.0" customHeight="1">
      <c r="A92" s="5"/>
      <c r="B92" s="5"/>
      <c r="C92" s="73" t="s">
        <v>48</v>
      </c>
      <c r="D92" s="62"/>
      <c r="E92" s="62"/>
      <c r="F92" s="14"/>
      <c r="G92" s="74" t="str">
        <f>(H85*D89)+(H87*D90)</f>
        <v>#REF!</v>
      </c>
      <c r="H92" s="12"/>
      <c r="I92" s="69" t="s">
        <v>41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75" t="s">
        <v>49</v>
      </c>
      <c r="D94" s="76"/>
      <c r="E94" s="77"/>
      <c r="F94" s="78"/>
      <c r="G94" s="76"/>
      <c r="H94" s="76"/>
      <c r="I94" s="7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79"/>
      <c r="D95" s="65"/>
      <c r="E95" s="80"/>
      <c r="F95" s="79"/>
      <c r="G95" s="65"/>
      <c r="H95" s="65"/>
      <c r="I95" s="80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3.25" customHeight="1">
      <c r="A96" s="5"/>
      <c r="B96" s="5"/>
      <c r="C96" s="81" t="s">
        <v>50</v>
      </c>
      <c r="D96" s="15"/>
      <c r="E96" s="12"/>
      <c r="F96" s="82"/>
      <c r="G96" s="15"/>
      <c r="H96" s="15"/>
      <c r="I96" s="12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0">
    <mergeCell ref="A5:D5"/>
    <mergeCell ref="B7:M7"/>
    <mergeCell ref="C9:D9"/>
    <mergeCell ref="H9:I9"/>
    <mergeCell ref="J9:M9"/>
    <mergeCell ref="C10:D10"/>
    <mergeCell ref="H10:I10"/>
    <mergeCell ref="J10:M10"/>
    <mergeCell ref="B14:M14"/>
    <mergeCell ref="B16:B17"/>
    <mergeCell ref="C16:C17"/>
    <mergeCell ref="D16:E16"/>
    <mergeCell ref="H16:I16"/>
    <mergeCell ref="J16:K16"/>
    <mergeCell ref="F16:G16"/>
    <mergeCell ref="C78:G80"/>
    <mergeCell ref="I79:M79"/>
    <mergeCell ref="C81:G81"/>
    <mergeCell ref="C83:G83"/>
    <mergeCell ref="C85:G85"/>
    <mergeCell ref="C87:G87"/>
    <mergeCell ref="C96:E96"/>
    <mergeCell ref="F96:I96"/>
    <mergeCell ref="C89:C90"/>
    <mergeCell ref="E89:I89"/>
    <mergeCell ref="E90:I90"/>
    <mergeCell ref="C92:F92"/>
    <mergeCell ref="G92:H92"/>
    <mergeCell ref="C94:E95"/>
    <mergeCell ref="F94:I95"/>
  </mergeCells>
  <dataValidations>
    <dataValidation type="decimal" allowBlank="1" showInputMessage="1" showErrorMessage="1" prompt="Ugyldigt tal - Tallet på kilometertælleren skal være mellem 0 and 999.999,9" sqref="J18:K26 J28:K28">
      <formula1>0.0</formula1>
      <formula2>999999.9</formula2>
    </dataValidation>
  </dataValidations>
  <hyperlinks>
    <hyperlink r:id="rId1" ref="A13"/>
  </hyperlinks>
  <printOptions/>
  <pageMargins bottom="0.75" footer="0.0" header="0.0" left="0.7" right="0.7" top="0.75"/>
  <pageSetup orientation="landscape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0.13"/>
    <col customWidth="1" min="3" max="3" width="62.25"/>
    <col customWidth="1" min="4" max="4" width="12.25"/>
    <col customWidth="1" min="5" max="5" width="12.38"/>
    <col customWidth="1" min="6" max="6" width="20.88"/>
    <col customWidth="1" min="7" max="7" width="11.25"/>
    <col customWidth="1" min="8" max="8" width="34.25"/>
    <col customWidth="1" min="9" max="9" width="11.63"/>
    <col customWidth="1" min="10" max="10" width="13.38"/>
    <col customWidth="1" min="11" max="11" width="14.13"/>
    <col customWidth="1" min="12" max="13" width="14.5"/>
    <col customWidth="1" min="14" max="14" width="19.5"/>
    <col customWidth="1" min="15" max="26" width="8.75"/>
  </cols>
  <sheetData>
    <row r="1" ht="12.75" customHeight="1">
      <c r="A1" s="5"/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9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8"/>
      <c r="B9" s="10" t="s">
        <v>4</v>
      </c>
      <c r="C9" s="101">
        <v>40.0</v>
      </c>
      <c r="D9" s="12"/>
      <c r="E9" s="134">
        <v>80.0</v>
      </c>
      <c r="F9" s="9"/>
      <c r="G9" s="9"/>
      <c r="H9" s="13" t="s">
        <v>6</v>
      </c>
      <c r="I9" s="14"/>
      <c r="J9" s="11" t="s">
        <v>7</v>
      </c>
      <c r="K9" s="15"/>
      <c r="L9" s="15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8"/>
      <c r="B10" s="16" t="s">
        <v>8</v>
      </c>
      <c r="C10" s="101" t="s">
        <v>63</v>
      </c>
      <c r="D10" s="12"/>
      <c r="E10" s="9"/>
      <c r="F10" s="9"/>
      <c r="G10" s="9"/>
      <c r="H10" s="13" t="s">
        <v>10</v>
      </c>
      <c r="I10" s="14"/>
      <c r="J10" s="17" t="s">
        <v>11</v>
      </c>
      <c r="K10" s="18"/>
      <c r="L10" s="18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20" t="s">
        <v>12</v>
      </c>
      <c r="K11" s="21">
        <f>SUM(L18:L35)</f>
        <v>362</v>
      </c>
      <c r="L11" s="9"/>
      <c r="M11" s="9"/>
      <c r="N11" s="100" t="s">
        <v>85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8"/>
      <c r="B12" s="9"/>
      <c r="C12" s="9"/>
      <c r="D12" s="9"/>
      <c r="E12" s="9"/>
      <c r="F12" s="9"/>
      <c r="G12" s="9"/>
      <c r="H12" s="9"/>
      <c r="I12" s="9"/>
      <c r="J12" s="20" t="s">
        <v>13</v>
      </c>
      <c r="K12" s="89">
        <v>3.81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90" t="s">
        <v>53</v>
      </c>
      <c r="B13" s="8"/>
      <c r="C13" s="8"/>
      <c r="D13" s="8"/>
      <c r="E13" s="5"/>
      <c r="F13" s="5"/>
      <c r="G13" s="5"/>
      <c r="H13" s="5"/>
      <c r="I13" s="5"/>
      <c r="J13" s="20" t="s">
        <v>15</v>
      </c>
      <c r="K13" s="22">
        <f>SUM(K11*K12)</f>
        <v>1379.22</v>
      </c>
      <c r="L13" s="10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24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27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5.25" customHeight="1">
      <c r="A16" s="5"/>
      <c r="B16" s="29" t="s">
        <v>17</v>
      </c>
      <c r="C16" s="30" t="s">
        <v>18</v>
      </c>
      <c r="D16" s="31" t="s">
        <v>19</v>
      </c>
      <c r="E16" s="26"/>
      <c r="F16" s="31" t="s">
        <v>20</v>
      </c>
      <c r="G16" s="26"/>
      <c r="H16" s="31" t="s">
        <v>21</v>
      </c>
      <c r="I16" s="26"/>
      <c r="J16" s="31" t="s">
        <v>22</v>
      </c>
      <c r="K16" s="26"/>
      <c r="L16" s="104"/>
      <c r="M16" s="10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32"/>
      <c r="C17" s="32"/>
      <c r="D17" s="33" t="s">
        <v>24</v>
      </c>
      <c r="E17" s="33" t="s">
        <v>25</v>
      </c>
      <c r="F17" s="33" t="s">
        <v>26</v>
      </c>
      <c r="G17" s="33" t="s">
        <v>27</v>
      </c>
      <c r="H17" s="33" t="s">
        <v>26</v>
      </c>
      <c r="I17" s="33" t="s">
        <v>27</v>
      </c>
      <c r="J17" s="33" t="s">
        <v>28</v>
      </c>
      <c r="K17" s="33" t="s">
        <v>29</v>
      </c>
      <c r="L17" s="105" t="s">
        <v>24</v>
      </c>
      <c r="M17" s="33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5"/>
      <c r="B18" s="102">
        <v>45749.0</v>
      </c>
      <c r="C18" s="125" t="s">
        <v>112</v>
      </c>
      <c r="D18" s="126">
        <v>1.0</v>
      </c>
      <c r="E18" s="127"/>
      <c r="F18" s="1" t="s">
        <v>31</v>
      </c>
      <c r="G18" s="40">
        <v>2791.0</v>
      </c>
      <c r="H18" s="1" t="s">
        <v>113</v>
      </c>
      <c r="I18" s="108">
        <v>2800.0</v>
      </c>
      <c r="J18" s="128">
        <v>41.0</v>
      </c>
      <c r="K18" s="129">
        <v>41.0</v>
      </c>
      <c r="L18" s="106">
        <f t="shared" ref="L18:L24" si="1">SUM(J18:K18)</f>
        <v>82</v>
      </c>
      <c r="M18" s="130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5"/>
      <c r="B19" s="102">
        <v>45754.0</v>
      </c>
      <c r="C19" s="125" t="s">
        <v>114</v>
      </c>
      <c r="D19" s="126">
        <v>1.0</v>
      </c>
      <c r="E19" s="127"/>
      <c r="F19" s="1" t="s">
        <v>31</v>
      </c>
      <c r="G19" s="40">
        <v>2791.0</v>
      </c>
      <c r="H19" s="1" t="s">
        <v>115</v>
      </c>
      <c r="I19" s="108">
        <v>2791.0</v>
      </c>
      <c r="J19" s="128">
        <v>4.0</v>
      </c>
      <c r="K19" s="129">
        <v>4.0</v>
      </c>
      <c r="L19" s="106">
        <f t="shared" si="1"/>
        <v>8</v>
      </c>
      <c r="M19" s="130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0" customHeight="1">
      <c r="A20" s="5"/>
      <c r="B20" s="102">
        <v>45755.0</v>
      </c>
      <c r="C20" s="125" t="s">
        <v>116</v>
      </c>
      <c r="D20" s="126">
        <v>1.0</v>
      </c>
      <c r="E20" s="127"/>
      <c r="F20" s="1" t="s">
        <v>31</v>
      </c>
      <c r="G20" s="40">
        <v>2791.0</v>
      </c>
      <c r="H20" s="1" t="s">
        <v>117</v>
      </c>
      <c r="I20" s="108">
        <v>1415.0</v>
      </c>
      <c r="J20" s="128">
        <v>15.0</v>
      </c>
      <c r="K20" s="129">
        <v>15.0</v>
      </c>
      <c r="L20" s="106">
        <f t="shared" si="1"/>
        <v>30</v>
      </c>
      <c r="M20" s="130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0" customHeight="1">
      <c r="A21" s="5"/>
      <c r="B21" s="102">
        <v>45756.0</v>
      </c>
      <c r="C21" s="125" t="s">
        <v>118</v>
      </c>
      <c r="D21" s="126">
        <v>1.0</v>
      </c>
      <c r="E21" s="127"/>
      <c r="F21" s="1" t="s">
        <v>31</v>
      </c>
      <c r="G21" s="40">
        <v>2791.0</v>
      </c>
      <c r="H21" s="1" t="s">
        <v>119</v>
      </c>
      <c r="I21" s="108">
        <v>2200.0</v>
      </c>
      <c r="J21" s="128">
        <v>21.0</v>
      </c>
      <c r="K21" s="129">
        <v>21.0</v>
      </c>
      <c r="L21" s="106">
        <f t="shared" si="1"/>
        <v>42</v>
      </c>
      <c r="M21" s="13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0" customHeight="1">
      <c r="A22" s="5"/>
      <c r="B22" s="102">
        <v>45756.0</v>
      </c>
      <c r="C22" s="125" t="s">
        <v>120</v>
      </c>
      <c r="D22" s="126">
        <v>1.0</v>
      </c>
      <c r="E22" s="127"/>
      <c r="F22" s="1" t="s">
        <v>31</v>
      </c>
      <c r="G22" s="40">
        <v>2791.0</v>
      </c>
      <c r="H22" s="1" t="s">
        <v>121</v>
      </c>
      <c r="I22" s="108">
        <v>2000.0</v>
      </c>
      <c r="J22" s="128">
        <v>20.0</v>
      </c>
      <c r="K22" s="129">
        <v>20.0</v>
      </c>
      <c r="L22" s="106">
        <f t="shared" si="1"/>
        <v>40</v>
      </c>
      <c r="M22" s="130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0" customHeight="1">
      <c r="A23" s="5"/>
      <c r="B23" s="102">
        <v>45761.0</v>
      </c>
      <c r="C23" s="93" t="s">
        <v>92</v>
      </c>
      <c r="D23" s="94">
        <v>1.0</v>
      </c>
      <c r="E23" s="47"/>
      <c r="F23" s="1" t="s">
        <v>31</v>
      </c>
      <c r="G23" s="44">
        <v>2791.0</v>
      </c>
      <c r="H23" s="95" t="s">
        <v>99</v>
      </c>
      <c r="I23" s="108">
        <v>2730.0</v>
      </c>
      <c r="J23" s="96">
        <v>40.0</v>
      </c>
      <c r="K23" s="97">
        <v>40.0</v>
      </c>
      <c r="L23" s="106">
        <f t="shared" si="1"/>
        <v>80</v>
      </c>
      <c r="M23" s="4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102">
        <v>45770.0</v>
      </c>
      <c r="C24" s="93" t="s">
        <v>92</v>
      </c>
      <c r="D24" s="94">
        <v>1.0</v>
      </c>
      <c r="E24" s="47"/>
      <c r="F24" s="1" t="s">
        <v>31</v>
      </c>
      <c r="G24" s="44">
        <v>2791.0</v>
      </c>
      <c r="H24" s="95" t="s">
        <v>99</v>
      </c>
      <c r="I24" s="108">
        <v>2730.0</v>
      </c>
      <c r="J24" s="96">
        <v>40.0</v>
      </c>
      <c r="K24" s="97">
        <v>40.0</v>
      </c>
      <c r="L24" s="106">
        <f t="shared" si="1"/>
        <v>80</v>
      </c>
      <c r="M24" s="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102">
        <v>45771.0</v>
      </c>
      <c r="C25" s="93" t="s">
        <v>120</v>
      </c>
      <c r="D25" s="94">
        <v>1.0</v>
      </c>
      <c r="E25" s="47"/>
      <c r="F25" s="1" t="s">
        <v>31</v>
      </c>
      <c r="G25" s="40">
        <v>2791.0</v>
      </c>
      <c r="H25" s="133" t="s">
        <v>103</v>
      </c>
      <c r="I25" s="108">
        <v>1434.0</v>
      </c>
      <c r="J25" s="96"/>
      <c r="K25" s="97"/>
      <c r="L25" s="106"/>
      <c r="M25" s="4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102"/>
      <c r="C26" s="93"/>
      <c r="D26" s="94"/>
      <c r="E26" s="47"/>
      <c r="G26" s="44"/>
      <c r="H26" s="95"/>
      <c r="I26" s="108"/>
      <c r="J26" s="96"/>
      <c r="K26" s="97"/>
      <c r="L26" s="106"/>
      <c r="M26" s="4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102"/>
      <c r="C27" s="93"/>
      <c r="D27" s="94"/>
      <c r="E27" s="47"/>
      <c r="G27" s="44"/>
      <c r="H27" s="95"/>
      <c r="I27" s="108"/>
      <c r="J27" s="96"/>
      <c r="K27" s="97"/>
      <c r="L27" s="106"/>
      <c r="M27" s="4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102"/>
      <c r="C28" s="93"/>
      <c r="D28" s="94"/>
      <c r="E28" s="47"/>
      <c r="G28" s="44"/>
      <c r="H28" s="95"/>
      <c r="I28" s="108"/>
      <c r="J28" s="96"/>
      <c r="K28" s="97"/>
      <c r="L28" s="106"/>
      <c r="M28" s="4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102"/>
      <c r="C29" s="93"/>
      <c r="D29" s="94"/>
      <c r="E29" s="47"/>
      <c r="G29" s="44"/>
      <c r="H29" s="95"/>
      <c r="I29" s="108"/>
      <c r="J29" s="96"/>
      <c r="K29" s="97"/>
      <c r="L29" s="106"/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102"/>
      <c r="C30" s="93"/>
      <c r="D30" s="94"/>
      <c r="E30" s="47"/>
      <c r="G30" s="44"/>
      <c r="H30" s="95"/>
      <c r="I30" s="108"/>
      <c r="J30" s="96"/>
      <c r="K30" s="96"/>
      <c r="L30" s="106"/>
      <c r="M30" s="4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34"/>
      <c r="C32" s="35"/>
      <c r="D32" s="36"/>
      <c r="E32" s="47"/>
      <c r="G32" s="44"/>
      <c r="H32" s="39"/>
      <c r="I32" s="44"/>
      <c r="J32" s="41"/>
      <c r="K32" s="42"/>
      <c r="L32" s="106"/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34"/>
      <c r="C33" s="35"/>
      <c r="D33" s="47"/>
      <c r="E33" s="47"/>
      <c r="F33" s="39"/>
      <c r="G33" s="44"/>
      <c r="H33" s="47"/>
      <c r="I33" s="44"/>
      <c r="J33" s="43"/>
      <c r="K33" s="43"/>
      <c r="L33" s="43"/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34"/>
      <c r="C34" s="35"/>
      <c r="D34" s="47"/>
      <c r="E34" s="47"/>
      <c r="F34" s="39"/>
      <c r="G34" s="44"/>
      <c r="H34" s="47"/>
      <c r="I34" s="44"/>
      <c r="J34" s="43"/>
      <c r="K34" s="43"/>
      <c r="L34" s="43"/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34"/>
      <c r="C35" s="35"/>
      <c r="D35" s="47"/>
      <c r="E35" s="47"/>
      <c r="F35" s="39"/>
      <c r="G35" s="44"/>
      <c r="H35" s="47"/>
      <c r="I35" s="44"/>
      <c r="J35" s="43"/>
      <c r="K35" s="43"/>
      <c r="L35" s="43"/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34"/>
      <c r="C36" s="35"/>
      <c r="D36" s="47"/>
      <c r="E36" s="47"/>
      <c r="F36" s="39"/>
      <c r="G36" s="44"/>
      <c r="H36" s="47"/>
      <c r="I36" s="44"/>
      <c r="J36" s="43"/>
      <c r="K36" s="43"/>
      <c r="L36" s="43"/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34"/>
      <c r="C37" s="35"/>
      <c r="D37" s="47"/>
      <c r="E37" s="47"/>
      <c r="F37" s="39"/>
      <c r="G37" s="44"/>
      <c r="H37" s="47"/>
      <c r="I37" s="44"/>
      <c r="J37" s="43"/>
      <c r="K37" s="43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34"/>
      <c r="C38" s="35"/>
      <c r="D38" s="47"/>
      <c r="E38" s="47"/>
      <c r="F38" s="39"/>
      <c r="G38" s="44"/>
      <c r="H38" s="47"/>
      <c r="I38" s="44"/>
      <c r="J38" s="43"/>
      <c r="K38" s="43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34"/>
      <c r="C39" s="35"/>
      <c r="D39" s="47"/>
      <c r="E39" s="47"/>
      <c r="F39" s="39"/>
      <c r="G39" s="44"/>
      <c r="H39" s="47"/>
      <c r="I39" s="44"/>
      <c r="J39" s="43"/>
      <c r="K39" s="43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34"/>
      <c r="C40" s="35"/>
      <c r="D40" s="47"/>
      <c r="E40" s="47"/>
      <c r="F40" s="39"/>
      <c r="G40" s="44"/>
      <c r="H40" s="47"/>
      <c r="I40" s="44"/>
      <c r="J40" s="43"/>
      <c r="K40" s="43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34"/>
      <c r="C41" s="35"/>
      <c r="D41" s="47"/>
      <c r="E41" s="47"/>
      <c r="F41" s="39"/>
      <c r="G41" s="44"/>
      <c r="H41" s="47"/>
      <c r="I41" s="44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34"/>
      <c r="C42" s="35"/>
      <c r="D42" s="47"/>
      <c r="E42" s="47"/>
      <c r="F42" s="39"/>
      <c r="G42" s="44"/>
      <c r="H42" s="47"/>
      <c r="I42" s="44"/>
      <c r="J42" s="43"/>
      <c r="K42" s="43"/>
      <c r="L42" s="43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34"/>
      <c r="C43" s="35"/>
      <c r="D43" s="47"/>
      <c r="E43" s="47"/>
      <c r="F43" s="39"/>
      <c r="G43" s="44"/>
      <c r="H43" s="47"/>
      <c r="I43" s="44"/>
      <c r="J43" s="43"/>
      <c r="K43" s="43"/>
      <c r="L43" s="43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34"/>
      <c r="C44" s="35"/>
      <c r="D44" s="47"/>
      <c r="E44" s="47"/>
      <c r="F44" s="39"/>
      <c r="G44" s="44"/>
      <c r="H44" s="47"/>
      <c r="I44" s="44"/>
      <c r="J44" s="43"/>
      <c r="K44" s="43"/>
      <c r="L44" s="43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34"/>
      <c r="C45" s="35"/>
      <c r="D45" s="47"/>
      <c r="E45" s="47"/>
      <c r="F45" s="39"/>
      <c r="G45" s="44"/>
      <c r="H45" s="47"/>
      <c r="I45" s="44"/>
      <c r="J45" s="43"/>
      <c r="K45" s="43"/>
      <c r="L45" s="43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34"/>
      <c r="C46" s="35"/>
      <c r="D46" s="47"/>
      <c r="E46" s="47"/>
      <c r="F46" s="39"/>
      <c r="G46" s="44"/>
      <c r="H46" s="47"/>
      <c r="I46" s="44"/>
      <c r="J46" s="43"/>
      <c r="K46" s="43"/>
      <c r="L46" s="43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34"/>
      <c r="C47" s="35"/>
      <c r="D47" s="47"/>
      <c r="E47" s="47"/>
      <c r="F47" s="39"/>
      <c r="G47" s="44"/>
      <c r="H47" s="47"/>
      <c r="I47" s="44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34"/>
      <c r="C48" s="35"/>
      <c r="D48" s="47"/>
      <c r="E48" s="47"/>
      <c r="F48" s="39"/>
      <c r="G48" s="44"/>
      <c r="H48" s="47"/>
      <c r="I48" s="44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34"/>
      <c r="C49" s="53"/>
      <c r="D49" s="54"/>
      <c r="E49" s="54"/>
      <c r="F49" s="39"/>
      <c r="G49" s="44"/>
      <c r="H49" s="54"/>
      <c r="I49" s="44"/>
      <c r="J49" s="55"/>
      <c r="K49" s="55"/>
      <c r="L49" s="107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34"/>
      <c r="C50" s="35"/>
      <c r="D50" s="47"/>
      <c r="E50" s="47"/>
      <c r="F50" s="39"/>
      <c r="G50" s="44"/>
      <c r="H50" s="47"/>
      <c r="I50" s="44"/>
      <c r="J50" s="43"/>
      <c r="K50" s="43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34"/>
      <c r="C51" s="35"/>
      <c r="D51" s="47"/>
      <c r="E51" s="47"/>
      <c r="F51" s="39"/>
      <c r="G51" s="44"/>
      <c r="H51" s="47"/>
      <c r="I51" s="44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34"/>
      <c r="C52" s="35"/>
      <c r="D52" s="47"/>
      <c r="E52" s="47"/>
      <c r="F52" s="39"/>
      <c r="G52" s="44"/>
      <c r="H52" s="47"/>
      <c r="I52" s="44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34"/>
      <c r="C53" s="35"/>
      <c r="D53" s="47"/>
      <c r="E53" s="47"/>
      <c r="F53" s="39"/>
      <c r="G53" s="44"/>
      <c r="H53" s="47"/>
      <c r="I53" s="44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34"/>
      <c r="C54" s="35"/>
      <c r="D54" s="47"/>
      <c r="E54" s="47"/>
      <c r="F54" s="39"/>
      <c r="G54" s="44"/>
      <c r="H54" s="47"/>
      <c r="I54" s="44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34"/>
      <c r="C55" s="35"/>
      <c r="D55" s="47"/>
      <c r="E55" s="47"/>
      <c r="F55" s="39"/>
      <c r="G55" s="44"/>
      <c r="H55" s="47"/>
      <c r="I55" s="44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34"/>
      <c r="C56" s="35"/>
      <c r="D56" s="47"/>
      <c r="E56" s="47"/>
      <c r="F56" s="39"/>
      <c r="G56" s="44"/>
      <c r="H56" s="47"/>
      <c r="I56" s="44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34"/>
      <c r="C57" s="35"/>
      <c r="D57" s="47"/>
      <c r="E57" s="47"/>
      <c r="F57" s="39"/>
      <c r="G57" s="44"/>
      <c r="H57" s="47"/>
      <c r="I57" s="44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34"/>
      <c r="C58" s="35"/>
      <c r="D58" s="47"/>
      <c r="E58" s="47"/>
      <c r="F58" s="39"/>
      <c r="G58" s="44"/>
      <c r="H58" s="47"/>
      <c r="I58" s="44"/>
      <c r="J58" s="43"/>
      <c r="K58" s="43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34"/>
      <c r="C59" s="35"/>
      <c r="D59" s="47"/>
      <c r="E59" s="47"/>
      <c r="F59" s="39"/>
      <c r="G59" s="44"/>
      <c r="H59" s="47"/>
      <c r="I59" s="44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34"/>
      <c r="C60" s="35"/>
      <c r="D60" s="47"/>
      <c r="E60" s="47"/>
      <c r="F60" s="39"/>
      <c r="G60" s="44"/>
      <c r="H60" s="47"/>
      <c r="I60" s="44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34"/>
      <c r="C61" s="35"/>
      <c r="D61" s="47"/>
      <c r="E61" s="47"/>
      <c r="F61" s="39"/>
      <c r="G61" s="44"/>
      <c r="H61" s="47"/>
      <c r="I61" s="44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34"/>
      <c r="C62" s="35"/>
      <c r="D62" s="47"/>
      <c r="E62" s="47"/>
      <c r="F62" s="39"/>
      <c r="G62" s="44"/>
      <c r="H62" s="47"/>
      <c r="I62" s="44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34"/>
      <c r="C63" s="35"/>
      <c r="D63" s="47"/>
      <c r="E63" s="47"/>
      <c r="F63" s="39"/>
      <c r="G63" s="44"/>
      <c r="H63" s="47"/>
      <c r="I63" s="44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34"/>
      <c r="C64" s="35"/>
      <c r="D64" s="47"/>
      <c r="E64" s="47"/>
      <c r="F64" s="39"/>
      <c r="G64" s="44"/>
      <c r="H64" s="47"/>
      <c r="I64" s="44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34"/>
      <c r="C65" s="35"/>
      <c r="D65" s="47"/>
      <c r="E65" s="47"/>
      <c r="F65" s="39"/>
      <c r="G65" s="44"/>
      <c r="H65" s="47"/>
      <c r="I65" s="44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34"/>
      <c r="C66" s="35"/>
      <c r="D66" s="47"/>
      <c r="E66" s="47"/>
      <c r="F66" s="39"/>
      <c r="G66" s="44"/>
      <c r="H66" s="47"/>
      <c r="I66" s="44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34"/>
      <c r="C67" s="35"/>
      <c r="D67" s="47"/>
      <c r="E67" s="47"/>
      <c r="F67" s="39"/>
      <c r="G67" s="44"/>
      <c r="H67" s="47"/>
      <c r="I67" s="44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34"/>
      <c r="C68" s="35"/>
      <c r="D68" s="47"/>
      <c r="E68" s="47"/>
      <c r="F68" s="39"/>
      <c r="G68" s="44"/>
      <c r="H68" s="47"/>
      <c r="I68" s="44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34"/>
      <c r="C69" s="35"/>
      <c r="D69" s="47"/>
      <c r="E69" s="47"/>
      <c r="F69" s="39"/>
      <c r="G69" s="44"/>
      <c r="H69" s="47"/>
      <c r="I69" s="44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34"/>
      <c r="C70" s="35"/>
      <c r="D70" s="47"/>
      <c r="E70" s="47"/>
      <c r="F70" s="39"/>
      <c r="G70" s="44"/>
      <c r="H70" s="47"/>
      <c r="I70" s="44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34"/>
      <c r="C71" s="35"/>
      <c r="D71" s="47"/>
      <c r="E71" s="47"/>
      <c r="F71" s="39"/>
      <c r="G71" s="44"/>
      <c r="H71" s="47"/>
      <c r="I71" s="44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34"/>
      <c r="C72" s="35"/>
      <c r="D72" s="47"/>
      <c r="E72" s="47"/>
      <c r="F72" s="39"/>
      <c r="G72" s="44"/>
      <c r="H72" s="47"/>
      <c r="I72" s="44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34"/>
      <c r="C73" s="35"/>
      <c r="D73" s="47"/>
      <c r="E73" s="47"/>
      <c r="F73" s="39"/>
      <c r="G73" s="44"/>
      <c r="H73" s="47"/>
      <c r="I73" s="44"/>
      <c r="J73" s="43"/>
      <c r="K73" s="43"/>
      <c r="L73" s="43"/>
      <c r="M73" s="4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34"/>
      <c r="C74" s="35"/>
      <c r="D74" s="47"/>
      <c r="E74" s="47"/>
      <c r="F74" s="39"/>
      <c r="G74" s="44"/>
      <c r="H74" s="47"/>
      <c r="I74" s="44"/>
      <c r="J74" s="43"/>
      <c r="K74" s="43"/>
      <c r="L74" s="43"/>
      <c r="M74" s="4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34"/>
      <c r="C75" s="35"/>
      <c r="D75" s="47"/>
      <c r="E75" s="47"/>
      <c r="F75" s="39"/>
      <c r="G75" s="44"/>
      <c r="H75" s="47"/>
      <c r="I75" s="44"/>
      <c r="J75" s="43"/>
      <c r="K75" s="43"/>
      <c r="L75" s="43"/>
      <c r="M75" s="43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34"/>
      <c r="C76" s="35"/>
      <c r="D76" s="47"/>
      <c r="E76" s="47"/>
      <c r="F76" s="39"/>
      <c r="G76" s="44"/>
      <c r="H76" s="47"/>
      <c r="I76" s="44"/>
      <c r="J76" s="43"/>
      <c r="K76" s="43"/>
      <c r="L76" s="43"/>
      <c r="M76" s="43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34"/>
      <c r="C77" s="35"/>
      <c r="D77" s="47"/>
      <c r="E77" s="47"/>
      <c r="F77" s="39"/>
      <c r="G77" s="44"/>
      <c r="H77" s="47"/>
      <c r="I77" s="44"/>
      <c r="J77" s="43"/>
      <c r="K77" s="43"/>
      <c r="L77" s="43"/>
      <c r="M77" s="43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34"/>
      <c r="C78" s="35"/>
      <c r="D78" s="47"/>
      <c r="E78" s="47"/>
      <c r="F78" s="39"/>
      <c r="G78" s="44"/>
      <c r="H78" s="47"/>
      <c r="I78" s="44"/>
      <c r="J78" s="43"/>
      <c r="K78" s="43"/>
      <c r="L78" s="43"/>
      <c r="M78" s="43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34"/>
      <c r="C79" s="35"/>
      <c r="D79" s="47"/>
      <c r="E79" s="47"/>
      <c r="F79" s="39"/>
      <c r="G79" s="44"/>
      <c r="H79" s="47"/>
      <c r="I79" s="44"/>
      <c r="J79" s="43"/>
      <c r="K79" s="43"/>
      <c r="L79" s="43"/>
      <c r="M79" s="43">
        <f t="shared" ref="M79:M80" si="2">(K79-J79)*E79</f>
        <v>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34"/>
      <c r="C80" s="35"/>
      <c r="D80" s="47"/>
      <c r="E80" s="47"/>
      <c r="F80" s="39"/>
      <c r="G80" s="44"/>
      <c r="H80" s="47"/>
      <c r="I80" s="44"/>
      <c r="J80" s="43"/>
      <c r="K80" s="43"/>
      <c r="L80" s="43"/>
      <c r="M80" s="43">
        <f t="shared" si="2"/>
        <v>0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6" t="s">
        <v>38</v>
      </c>
      <c r="D82" s="57"/>
      <c r="E82" s="57"/>
      <c r="F82" s="57"/>
      <c r="G82" s="5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9"/>
      <c r="G83" s="60"/>
      <c r="H83" s="43">
        <v>0.0</v>
      </c>
      <c r="I83" s="61" t="s">
        <v>39</v>
      </c>
      <c r="J83" s="62"/>
      <c r="K83" s="62"/>
      <c r="L83" s="62"/>
      <c r="M83" s="63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64"/>
      <c r="D84" s="65"/>
      <c r="E84" s="65"/>
      <c r="F84" s="65"/>
      <c r="G84" s="66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5"/>
      <c r="C85" s="67" t="s">
        <v>40</v>
      </c>
      <c r="D85" s="62"/>
      <c r="E85" s="62"/>
      <c r="F85" s="62"/>
      <c r="G85" s="14"/>
      <c r="H85" s="68" t="str">
        <f>SUM(#REF!)</f>
        <v>#REF!</v>
      </c>
      <c r="I85" s="69" t="s">
        <v>41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9.5" customHeight="1">
      <c r="A87" s="5"/>
      <c r="B87" s="5"/>
      <c r="C87" s="67" t="s">
        <v>42</v>
      </c>
      <c r="D87" s="62"/>
      <c r="E87" s="62"/>
      <c r="F87" s="62"/>
      <c r="G87" s="63"/>
      <c r="H87" s="68" t="str">
        <f>H83+H85</f>
        <v>#REF!</v>
      </c>
      <c r="I87" s="69" t="s">
        <v>41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75" customHeight="1">
      <c r="A89" s="5"/>
      <c r="B89" s="5"/>
      <c r="C89" s="67" t="s">
        <v>43</v>
      </c>
      <c r="D89" s="62"/>
      <c r="E89" s="62"/>
      <c r="F89" s="62"/>
      <c r="G89" s="63"/>
      <c r="H89" s="68" t="str">
        <f>IF(H87&lt;=20000,H85,IF(H83&gt;20000,0,20000-H83))</f>
        <v>#REF!</v>
      </c>
      <c r="I89" s="69" t="s">
        <v>41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5"/>
      <c r="C91" s="67" t="s">
        <v>44</v>
      </c>
      <c r="D91" s="62"/>
      <c r="E91" s="62"/>
      <c r="F91" s="62"/>
      <c r="G91" s="14"/>
      <c r="H91" s="68" t="str">
        <f>IF(H87&gt;20000,H87-H83-H89,0)</f>
        <v>#REF!</v>
      </c>
      <c r="I91" s="69" t="s">
        <v>41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7.25" customHeight="1">
      <c r="A93" s="5"/>
      <c r="B93" s="5"/>
      <c r="C93" s="70" t="s">
        <v>45</v>
      </c>
      <c r="D93" s="71">
        <v>3.79</v>
      </c>
      <c r="E93" s="72" t="s">
        <v>46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5"/>
      <c r="B94" s="5"/>
      <c r="C94" s="32"/>
      <c r="D94" s="71">
        <v>2.23</v>
      </c>
      <c r="E94" s="72" t="s">
        <v>47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30.0" customHeight="1">
      <c r="A96" s="5"/>
      <c r="B96" s="5"/>
      <c r="C96" s="73" t="s">
        <v>48</v>
      </c>
      <c r="D96" s="62"/>
      <c r="E96" s="62"/>
      <c r="F96" s="14"/>
      <c r="G96" s="74" t="str">
        <f>(H89*D93)+(H91*D94)</f>
        <v>#REF!</v>
      </c>
      <c r="H96" s="12"/>
      <c r="I96" s="69" t="s">
        <v>41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75" t="s">
        <v>49</v>
      </c>
      <c r="D98" s="76"/>
      <c r="E98" s="77"/>
      <c r="F98" s="78"/>
      <c r="G98" s="76"/>
      <c r="H98" s="76"/>
      <c r="I98" s="77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79"/>
      <c r="D99" s="65"/>
      <c r="E99" s="80"/>
      <c r="F99" s="79"/>
      <c r="G99" s="65"/>
      <c r="H99" s="65"/>
      <c r="I99" s="80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3.25" customHeight="1">
      <c r="A100" s="5"/>
      <c r="B100" s="5"/>
      <c r="C100" s="81" t="s">
        <v>50</v>
      </c>
      <c r="D100" s="15"/>
      <c r="E100" s="12"/>
      <c r="F100" s="82"/>
      <c r="G100" s="15"/>
      <c r="H100" s="15"/>
      <c r="I100" s="12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30">
    <mergeCell ref="A5:D5"/>
    <mergeCell ref="B7:M7"/>
    <mergeCell ref="C9:D9"/>
    <mergeCell ref="H9:I9"/>
    <mergeCell ref="J9:M9"/>
    <mergeCell ref="C10:D10"/>
    <mergeCell ref="H10:I10"/>
    <mergeCell ref="J10:M10"/>
    <mergeCell ref="B14:M14"/>
    <mergeCell ref="B16:B17"/>
    <mergeCell ref="C16:C17"/>
    <mergeCell ref="D16:E16"/>
    <mergeCell ref="H16:I16"/>
    <mergeCell ref="J16:K16"/>
    <mergeCell ref="F16:G16"/>
    <mergeCell ref="C82:G84"/>
    <mergeCell ref="I83:M83"/>
    <mergeCell ref="C85:G85"/>
    <mergeCell ref="C87:G87"/>
    <mergeCell ref="C89:G89"/>
    <mergeCell ref="C91:G91"/>
    <mergeCell ref="C100:E100"/>
    <mergeCell ref="F100:I100"/>
    <mergeCell ref="C93:C94"/>
    <mergeCell ref="E93:I93"/>
    <mergeCell ref="E94:I94"/>
    <mergeCell ref="C96:F96"/>
    <mergeCell ref="G96:H96"/>
    <mergeCell ref="C98:E99"/>
    <mergeCell ref="F98:I99"/>
  </mergeCells>
  <dataValidations>
    <dataValidation type="decimal" allowBlank="1" showInputMessage="1" showErrorMessage="1" prompt="Ugyldigt tal - Tallet på kilometertælleren skal være mellem 0 and 999.999,9" sqref="J18:K30 J32:K32">
      <formula1>0.0</formula1>
      <formula2>999999.9</formula2>
    </dataValidation>
  </dataValidations>
  <hyperlinks>
    <hyperlink r:id="rId1" ref="A13"/>
  </hyperlinks>
  <printOptions/>
  <pageMargins bottom="0.75" footer="0.0" header="0.0" left="0.7" right="0.7" top="0.75"/>
  <pageSetup orientation="landscape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0.13"/>
    <col customWidth="1" min="3" max="3" width="62.25"/>
    <col customWidth="1" min="4" max="4" width="12.25"/>
    <col customWidth="1" min="5" max="5" width="12.38"/>
    <col customWidth="1" min="6" max="6" width="20.88"/>
    <col customWidth="1" min="7" max="7" width="11.25"/>
    <col customWidth="1" min="8" max="8" width="19.38"/>
    <col customWidth="1" min="9" max="9" width="11.63"/>
    <col customWidth="1" min="10" max="10" width="13.38"/>
    <col customWidth="1" min="11" max="11" width="14.13"/>
    <col customWidth="1" min="12" max="13" width="14.5"/>
    <col customWidth="1" min="14" max="14" width="19.5"/>
    <col customWidth="1" min="15" max="26" width="8.75"/>
  </cols>
  <sheetData>
    <row r="1" ht="12.75" customHeight="1">
      <c r="A1" s="5"/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9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8"/>
      <c r="B9" s="10" t="s">
        <v>4</v>
      </c>
      <c r="C9" s="88">
        <v>45778.0</v>
      </c>
      <c r="D9" s="12"/>
      <c r="E9" s="9"/>
      <c r="F9" s="9"/>
      <c r="G9" s="9"/>
      <c r="H9" s="13" t="s">
        <v>6</v>
      </c>
      <c r="I9" s="14"/>
      <c r="J9" s="11" t="s">
        <v>7</v>
      </c>
      <c r="K9" s="15"/>
      <c r="L9" s="15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8"/>
      <c r="B10" s="16" t="s">
        <v>8</v>
      </c>
      <c r="C10" s="101" t="s">
        <v>63</v>
      </c>
      <c r="D10" s="12"/>
      <c r="E10" s="9"/>
      <c r="F10" s="9"/>
      <c r="G10" s="9"/>
      <c r="H10" s="13" t="s">
        <v>10</v>
      </c>
      <c r="I10" s="14"/>
      <c r="J10" s="17" t="s">
        <v>11</v>
      </c>
      <c r="K10" s="18"/>
      <c r="L10" s="18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20" t="s">
        <v>12</v>
      </c>
      <c r="K11" s="21">
        <f>SUM(L18:L31)</f>
        <v>0</v>
      </c>
      <c r="L11" s="9"/>
      <c r="M11" s="9"/>
      <c r="N11" s="100" t="s">
        <v>85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8"/>
      <c r="B12" s="9"/>
      <c r="C12" s="9"/>
      <c r="D12" s="9"/>
      <c r="E12" s="9"/>
      <c r="F12" s="9"/>
      <c r="G12" s="9"/>
      <c r="H12" s="9"/>
      <c r="I12" s="9"/>
      <c r="J12" s="20" t="s">
        <v>13</v>
      </c>
      <c r="K12" s="89">
        <v>3.81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90" t="s">
        <v>53</v>
      </c>
      <c r="B13" s="8"/>
      <c r="C13" s="8"/>
      <c r="D13" s="8"/>
      <c r="E13" s="5"/>
      <c r="F13" s="5"/>
      <c r="G13" s="5"/>
      <c r="H13" s="5"/>
      <c r="I13" s="5"/>
      <c r="J13" s="20" t="s">
        <v>15</v>
      </c>
      <c r="K13" s="22">
        <f>SUM(K11*K12)</f>
        <v>0</v>
      </c>
      <c r="L13" s="10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24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27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5.25" customHeight="1">
      <c r="A16" s="5"/>
      <c r="B16" s="29" t="s">
        <v>17</v>
      </c>
      <c r="C16" s="30" t="s">
        <v>18</v>
      </c>
      <c r="D16" s="31" t="s">
        <v>19</v>
      </c>
      <c r="E16" s="26"/>
      <c r="F16" s="31" t="s">
        <v>20</v>
      </c>
      <c r="G16" s="26"/>
      <c r="H16" s="31" t="s">
        <v>21</v>
      </c>
      <c r="I16" s="26"/>
      <c r="J16" s="31" t="s">
        <v>22</v>
      </c>
      <c r="K16" s="26"/>
      <c r="L16" s="104"/>
      <c r="M16" s="10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32"/>
      <c r="C17" s="32"/>
      <c r="D17" s="33" t="s">
        <v>24</v>
      </c>
      <c r="E17" s="33" t="s">
        <v>25</v>
      </c>
      <c r="F17" s="33" t="s">
        <v>26</v>
      </c>
      <c r="G17" s="33" t="s">
        <v>27</v>
      </c>
      <c r="H17" s="33" t="s">
        <v>26</v>
      </c>
      <c r="I17" s="33" t="s">
        <v>27</v>
      </c>
      <c r="J17" s="33" t="s">
        <v>28</v>
      </c>
      <c r="K17" s="33" t="s">
        <v>29</v>
      </c>
      <c r="L17" s="105" t="s">
        <v>24</v>
      </c>
      <c r="M17" s="33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5"/>
      <c r="B18" s="102"/>
      <c r="C18" s="125"/>
      <c r="D18" s="126"/>
      <c r="E18" s="127"/>
      <c r="G18" s="44"/>
      <c r="I18" s="108"/>
      <c r="J18" s="128"/>
      <c r="K18" s="129"/>
      <c r="L18" s="106"/>
      <c r="M18" s="130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5"/>
      <c r="B19" s="102"/>
      <c r="C19" s="93"/>
      <c r="D19" s="94"/>
      <c r="E19" s="47"/>
      <c r="G19" s="44"/>
      <c r="H19" s="95"/>
      <c r="I19" s="108"/>
      <c r="J19" s="96"/>
      <c r="K19" s="97"/>
      <c r="L19" s="106"/>
      <c r="M19" s="4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102"/>
      <c r="C20" s="93"/>
      <c r="D20" s="94"/>
      <c r="E20" s="47"/>
      <c r="G20" s="44"/>
      <c r="H20" s="95"/>
      <c r="I20" s="108"/>
      <c r="J20" s="96"/>
      <c r="K20" s="97"/>
      <c r="L20" s="106"/>
      <c r="M20" s="4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102"/>
      <c r="C21" s="93"/>
      <c r="D21" s="94"/>
      <c r="E21" s="47"/>
      <c r="G21" s="44"/>
      <c r="H21" s="95"/>
      <c r="I21" s="108"/>
      <c r="J21" s="96"/>
      <c r="K21" s="97"/>
      <c r="L21" s="106"/>
      <c r="M21" s="4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102"/>
      <c r="C22" s="93"/>
      <c r="D22" s="94"/>
      <c r="E22" s="47"/>
      <c r="G22" s="44"/>
      <c r="H22" s="95"/>
      <c r="I22" s="108"/>
      <c r="J22" s="96"/>
      <c r="K22" s="97"/>
      <c r="L22" s="106"/>
      <c r="M22" s="4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102"/>
      <c r="C23" s="93"/>
      <c r="D23" s="94"/>
      <c r="E23" s="47"/>
      <c r="G23" s="44"/>
      <c r="H23" s="95"/>
      <c r="I23" s="108"/>
      <c r="J23" s="96"/>
      <c r="K23" s="97"/>
      <c r="L23" s="106"/>
      <c r="M23" s="4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102"/>
      <c r="C24" s="93"/>
      <c r="D24" s="94"/>
      <c r="E24" s="47"/>
      <c r="G24" s="44"/>
      <c r="H24" s="95"/>
      <c r="I24" s="108"/>
      <c r="J24" s="96"/>
      <c r="K24" s="97"/>
      <c r="L24" s="106"/>
      <c r="M24" s="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102"/>
      <c r="C25" s="93"/>
      <c r="D25" s="94"/>
      <c r="E25" s="47"/>
      <c r="G25" s="44"/>
      <c r="H25" s="95"/>
      <c r="I25" s="108"/>
      <c r="J25" s="96"/>
      <c r="K25" s="97"/>
      <c r="L25" s="106"/>
      <c r="M25" s="4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102"/>
      <c r="C26" s="93"/>
      <c r="D26" s="94"/>
      <c r="E26" s="47"/>
      <c r="G26" s="44"/>
      <c r="H26" s="95"/>
      <c r="I26" s="108"/>
      <c r="J26" s="96"/>
      <c r="K26" s="96"/>
      <c r="L26" s="106"/>
      <c r="M26" s="4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34"/>
      <c r="C28" s="35"/>
      <c r="D28" s="36"/>
      <c r="E28" s="47"/>
      <c r="G28" s="44"/>
      <c r="H28" s="39"/>
      <c r="I28" s="44"/>
      <c r="J28" s="41"/>
      <c r="K28" s="42"/>
      <c r="L28" s="106"/>
      <c r="M28" s="4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34"/>
      <c r="C29" s="35"/>
      <c r="D29" s="47"/>
      <c r="E29" s="47"/>
      <c r="F29" s="39"/>
      <c r="G29" s="44"/>
      <c r="H29" s="47"/>
      <c r="I29" s="44"/>
      <c r="J29" s="43"/>
      <c r="K29" s="43"/>
      <c r="L29" s="43"/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34"/>
      <c r="C30" s="35"/>
      <c r="D30" s="47"/>
      <c r="E30" s="47"/>
      <c r="F30" s="39"/>
      <c r="G30" s="44"/>
      <c r="H30" s="47"/>
      <c r="I30" s="44"/>
      <c r="J30" s="43"/>
      <c r="K30" s="43"/>
      <c r="L30" s="43"/>
      <c r="M30" s="4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34"/>
      <c r="C31" s="35"/>
      <c r="D31" s="47"/>
      <c r="E31" s="47"/>
      <c r="F31" s="39"/>
      <c r="G31" s="44"/>
      <c r="H31" s="47"/>
      <c r="I31" s="44"/>
      <c r="J31" s="43"/>
      <c r="K31" s="43"/>
      <c r="L31" s="43"/>
      <c r="M31" s="4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34"/>
      <c r="C32" s="35"/>
      <c r="D32" s="47"/>
      <c r="E32" s="47"/>
      <c r="F32" s="39"/>
      <c r="G32" s="44"/>
      <c r="H32" s="47"/>
      <c r="I32" s="44"/>
      <c r="J32" s="43"/>
      <c r="K32" s="43"/>
      <c r="L32" s="43"/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34"/>
      <c r="C33" s="35"/>
      <c r="D33" s="47"/>
      <c r="E33" s="47"/>
      <c r="F33" s="39"/>
      <c r="G33" s="44"/>
      <c r="H33" s="47"/>
      <c r="I33" s="44"/>
      <c r="J33" s="43"/>
      <c r="K33" s="43"/>
      <c r="L33" s="43"/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34"/>
      <c r="C34" s="35"/>
      <c r="D34" s="47"/>
      <c r="E34" s="47"/>
      <c r="F34" s="39"/>
      <c r="G34" s="44"/>
      <c r="H34" s="47"/>
      <c r="I34" s="44"/>
      <c r="J34" s="43"/>
      <c r="K34" s="43"/>
      <c r="L34" s="43"/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34"/>
      <c r="C35" s="35"/>
      <c r="D35" s="47"/>
      <c r="E35" s="47"/>
      <c r="F35" s="39"/>
      <c r="G35" s="44"/>
      <c r="H35" s="47"/>
      <c r="I35" s="44"/>
      <c r="J35" s="43"/>
      <c r="K35" s="43"/>
      <c r="L35" s="43"/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34"/>
      <c r="C36" s="35"/>
      <c r="D36" s="47"/>
      <c r="E36" s="47"/>
      <c r="F36" s="39"/>
      <c r="G36" s="44"/>
      <c r="H36" s="47"/>
      <c r="I36" s="44"/>
      <c r="J36" s="43"/>
      <c r="K36" s="43"/>
      <c r="L36" s="43"/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34"/>
      <c r="C37" s="35"/>
      <c r="D37" s="47"/>
      <c r="E37" s="47"/>
      <c r="F37" s="39"/>
      <c r="G37" s="44"/>
      <c r="H37" s="47"/>
      <c r="I37" s="44"/>
      <c r="J37" s="43"/>
      <c r="K37" s="43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34"/>
      <c r="C38" s="35"/>
      <c r="D38" s="47"/>
      <c r="E38" s="47"/>
      <c r="F38" s="39"/>
      <c r="G38" s="44"/>
      <c r="H38" s="47"/>
      <c r="I38" s="44"/>
      <c r="J38" s="43"/>
      <c r="K38" s="43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34"/>
      <c r="C39" s="35"/>
      <c r="D39" s="47"/>
      <c r="E39" s="47"/>
      <c r="F39" s="39"/>
      <c r="G39" s="44"/>
      <c r="H39" s="47"/>
      <c r="I39" s="44"/>
      <c r="J39" s="43"/>
      <c r="K39" s="43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34"/>
      <c r="C40" s="35"/>
      <c r="D40" s="47"/>
      <c r="E40" s="47"/>
      <c r="F40" s="39"/>
      <c r="G40" s="44"/>
      <c r="H40" s="47"/>
      <c r="I40" s="44"/>
      <c r="J40" s="43"/>
      <c r="K40" s="43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34"/>
      <c r="C41" s="35"/>
      <c r="D41" s="47"/>
      <c r="E41" s="47"/>
      <c r="F41" s="39"/>
      <c r="G41" s="44"/>
      <c r="H41" s="47"/>
      <c r="I41" s="44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34"/>
      <c r="C42" s="35"/>
      <c r="D42" s="47"/>
      <c r="E42" s="47"/>
      <c r="F42" s="39"/>
      <c r="G42" s="44"/>
      <c r="H42" s="47"/>
      <c r="I42" s="44"/>
      <c r="J42" s="43"/>
      <c r="K42" s="43"/>
      <c r="L42" s="43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34"/>
      <c r="C43" s="35"/>
      <c r="D43" s="47"/>
      <c r="E43" s="47"/>
      <c r="F43" s="39"/>
      <c r="G43" s="44"/>
      <c r="H43" s="47"/>
      <c r="I43" s="44"/>
      <c r="J43" s="43"/>
      <c r="K43" s="43"/>
      <c r="L43" s="43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34"/>
      <c r="C44" s="35"/>
      <c r="D44" s="47"/>
      <c r="E44" s="47"/>
      <c r="F44" s="39"/>
      <c r="G44" s="44"/>
      <c r="H44" s="47"/>
      <c r="I44" s="44"/>
      <c r="J44" s="43"/>
      <c r="K44" s="43"/>
      <c r="L44" s="43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34"/>
      <c r="C45" s="53"/>
      <c r="D45" s="54"/>
      <c r="E45" s="54"/>
      <c r="F45" s="39"/>
      <c r="G45" s="44"/>
      <c r="H45" s="54"/>
      <c r="I45" s="44"/>
      <c r="J45" s="55"/>
      <c r="K45" s="55"/>
      <c r="L45" s="107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34"/>
      <c r="C46" s="35"/>
      <c r="D46" s="47"/>
      <c r="E46" s="47"/>
      <c r="F46" s="39"/>
      <c r="G46" s="44"/>
      <c r="H46" s="47"/>
      <c r="I46" s="44"/>
      <c r="J46" s="43"/>
      <c r="K46" s="43"/>
      <c r="L46" s="43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34"/>
      <c r="C47" s="35"/>
      <c r="D47" s="47"/>
      <c r="E47" s="47"/>
      <c r="F47" s="39"/>
      <c r="G47" s="44"/>
      <c r="H47" s="47"/>
      <c r="I47" s="44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34"/>
      <c r="C48" s="35"/>
      <c r="D48" s="47"/>
      <c r="E48" s="47"/>
      <c r="F48" s="39"/>
      <c r="G48" s="44"/>
      <c r="H48" s="47"/>
      <c r="I48" s="44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34"/>
      <c r="C49" s="35"/>
      <c r="D49" s="47"/>
      <c r="E49" s="47"/>
      <c r="F49" s="39"/>
      <c r="G49" s="44"/>
      <c r="H49" s="47"/>
      <c r="I49" s="44"/>
      <c r="J49" s="43"/>
      <c r="K49" s="43"/>
      <c r="L49" s="43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34"/>
      <c r="C50" s="35"/>
      <c r="D50" s="47"/>
      <c r="E50" s="47"/>
      <c r="F50" s="39"/>
      <c r="G50" s="44"/>
      <c r="H50" s="47"/>
      <c r="I50" s="44"/>
      <c r="J50" s="43"/>
      <c r="K50" s="43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34"/>
      <c r="C51" s="35"/>
      <c r="D51" s="47"/>
      <c r="E51" s="47"/>
      <c r="F51" s="39"/>
      <c r="G51" s="44"/>
      <c r="H51" s="47"/>
      <c r="I51" s="44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34"/>
      <c r="C52" s="35"/>
      <c r="D52" s="47"/>
      <c r="E52" s="47"/>
      <c r="F52" s="39"/>
      <c r="G52" s="44"/>
      <c r="H52" s="47"/>
      <c r="I52" s="44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34"/>
      <c r="C53" s="35"/>
      <c r="D53" s="47"/>
      <c r="E53" s="47"/>
      <c r="F53" s="39"/>
      <c r="G53" s="44"/>
      <c r="H53" s="47"/>
      <c r="I53" s="44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34"/>
      <c r="C54" s="35"/>
      <c r="D54" s="47"/>
      <c r="E54" s="47"/>
      <c r="F54" s="39"/>
      <c r="G54" s="44"/>
      <c r="H54" s="47"/>
      <c r="I54" s="44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34"/>
      <c r="C55" s="35"/>
      <c r="D55" s="47"/>
      <c r="E55" s="47"/>
      <c r="F55" s="39"/>
      <c r="G55" s="44"/>
      <c r="H55" s="47"/>
      <c r="I55" s="44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34"/>
      <c r="C56" s="35"/>
      <c r="D56" s="47"/>
      <c r="E56" s="47"/>
      <c r="F56" s="39"/>
      <c r="G56" s="44"/>
      <c r="H56" s="47"/>
      <c r="I56" s="44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34"/>
      <c r="C57" s="35"/>
      <c r="D57" s="47"/>
      <c r="E57" s="47"/>
      <c r="F57" s="39"/>
      <c r="G57" s="44"/>
      <c r="H57" s="47"/>
      <c r="I57" s="44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34"/>
      <c r="C58" s="35"/>
      <c r="D58" s="47"/>
      <c r="E58" s="47"/>
      <c r="F58" s="39"/>
      <c r="G58" s="44"/>
      <c r="H58" s="47"/>
      <c r="I58" s="44"/>
      <c r="J58" s="43"/>
      <c r="K58" s="43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34"/>
      <c r="C59" s="35"/>
      <c r="D59" s="47"/>
      <c r="E59" s="47"/>
      <c r="F59" s="39"/>
      <c r="G59" s="44"/>
      <c r="H59" s="47"/>
      <c r="I59" s="44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34"/>
      <c r="C60" s="35"/>
      <c r="D60" s="47"/>
      <c r="E60" s="47"/>
      <c r="F60" s="39"/>
      <c r="G60" s="44"/>
      <c r="H60" s="47"/>
      <c r="I60" s="44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34"/>
      <c r="C61" s="35"/>
      <c r="D61" s="47"/>
      <c r="E61" s="47"/>
      <c r="F61" s="39"/>
      <c r="G61" s="44"/>
      <c r="H61" s="47"/>
      <c r="I61" s="44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34"/>
      <c r="C62" s="35"/>
      <c r="D62" s="47"/>
      <c r="E62" s="47"/>
      <c r="F62" s="39"/>
      <c r="G62" s="44"/>
      <c r="H62" s="47"/>
      <c r="I62" s="44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34"/>
      <c r="C63" s="35"/>
      <c r="D63" s="47"/>
      <c r="E63" s="47"/>
      <c r="F63" s="39"/>
      <c r="G63" s="44"/>
      <c r="H63" s="47"/>
      <c r="I63" s="44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34"/>
      <c r="C64" s="35"/>
      <c r="D64" s="47"/>
      <c r="E64" s="47"/>
      <c r="F64" s="39"/>
      <c r="G64" s="44"/>
      <c r="H64" s="47"/>
      <c r="I64" s="44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34"/>
      <c r="C65" s="35"/>
      <c r="D65" s="47"/>
      <c r="E65" s="47"/>
      <c r="F65" s="39"/>
      <c r="G65" s="44"/>
      <c r="H65" s="47"/>
      <c r="I65" s="44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34"/>
      <c r="C66" s="35"/>
      <c r="D66" s="47"/>
      <c r="E66" s="47"/>
      <c r="F66" s="39"/>
      <c r="G66" s="44"/>
      <c r="H66" s="47"/>
      <c r="I66" s="44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34"/>
      <c r="C67" s="35"/>
      <c r="D67" s="47"/>
      <c r="E67" s="47"/>
      <c r="F67" s="39"/>
      <c r="G67" s="44"/>
      <c r="H67" s="47"/>
      <c r="I67" s="44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34"/>
      <c r="C68" s="35"/>
      <c r="D68" s="47"/>
      <c r="E68" s="47"/>
      <c r="F68" s="39"/>
      <c r="G68" s="44"/>
      <c r="H68" s="47"/>
      <c r="I68" s="44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34"/>
      <c r="C69" s="35"/>
      <c r="D69" s="47"/>
      <c r="E69" s="47"/>
      <c r="F69" s="39"/>
      <c r="G69" s="44"/>
      <c r="H69" s="47"/>
      <c r="I69" s="44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34"/>
      <c r="C70" s="35"/>
      <c r="D70" s="47"/>
      <c r="E70" s="47"/>
      <c r="F70" s="39"/>
      <c r="G70" s="44"/>
      <c r="H70" s="47"/>
      <c r="I70" s="44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34"/>
      <c r="C71" s="35"/>
      <c r="D71" s="47"/>
      <c r="E71" s="47"/>
      <c r="F71" s="39"/>
      <c r="G71" s="44"/>
      <c r="H71" s="47"/>
      <c r="I71" s="44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34"/>
      <c r="C72" s="35"/>
      <c r="D72" s="47"/>
      <c r="E72" s="47"/>
      <c r="F72" s="39"/>
      <c r="G72" s="44"/>
      <c r="H72" s="47"/>
      <c r="I72" s="44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34"/>
      <c r="C73" s="35"/>
      <c r="D73" s="47"/>
      <c r="E73" s="47"/>
      <c r="F73" s="39"/>
      <c r="G73" s="44"/>
      <c r="H73" s="47"/>
      <c r="I73" s="44"/>
      <c r="J73" s="43"/>
      <c r="K73" s="43"/>
      <c r="L73" s="43"/>
      <c r="M73" s="4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34"/>
      <c r="C74" s="35"/>
      <c r="D74" s="47"/>
      <c r="E74" s="47"/>
      <c r="F74" s="39"/>
      <c r="G74" s="44"/>
      <c r="H74" s="47"/>
      <c r="I74" s="44"/>
      <c r="J74" s="43"/>
      <c r="K74" s="43"/>
      <c r="L74" s="43"/>
      <c r="M74" s="4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34"/>
      <c r="C75" s="35"/>
      <c r="D75" s="47"/>
      <c r="E75" s="47"/>
      <c r="F75" s="39"/>
      <c r="G75" s="44"/>
      <c r="H75" s="47"/>
      <c r="I75" s="44"/>
      <c r="J75" s="43"/>
      <c r="K75" s="43"/>
      <c r="L75" s="43"/>
      <c r="M75" s="43">
        <f t="shared" ref="M75:M76" si="1">(K75-J75)*E75</f>
        <v>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34"/>
      <c r="C76" s="35"/>
      <c r="D76" s="47"/>
      <c r="E76" s="47"/>
      <c r="F76" s="39"/>
      <c r="G76" s="44"/>
      <c r="H76" s="47"/>
      <c r="I76" s="44"/>
      <c r="J76" s="43"/>
      <c r="K76" s="43"/>
      <c r="L76" s="43"/>
      <c r="M76" s="43">
        <f t="shared" si="1"/>
        <v>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6" t="s">
        <v>38</v>
      </c>
      <c r="D78" s="57"/>
      <c r="E78" s="57"/>
      <c r="F78" s="57"/>
      <c r="G78" s="5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9"/>
      <c r="G79" s="60"/>
      <c r="H79" s="43">
        <v>0.0</v>
      </c>
      <c r="I79" s="61" t="s">
        <v>39</v>
      </c>
      <c r="J79" s="62"/>
      <c r="K79" s="62"/>
      <c r="L79" s="62"/>
      <c r="M79" s="6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64"/>
      <c r="D80" s="65"/>
      <c r="E80" s="65"/>
      <c r="F80" s="65"/>
      <c r="G80" s="6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5"/>
      <c r="C81" s="67" t="s">
        <v>40</v>
      </c>
      <c r="D81" s="62"/>
      <c r="E81" s="62"/>
      <c r="F81" s="62"/>
      <c r="G81" s="14"/>
      <c r="H81" s="68" t="str">
        <f>SUM(#REF!)</f>
        <v>#REF!</v>
      </c>
      <c r="I81" s="69" t="s">
        <v>41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5"/>
      <c r="B83" s="5"/>
      <c r="C83" s="67" t="s">
        <v>42</v>
      </c>
      <c r="D83" s="62"/>
      <c r="E83" s="62"/>
      <c r="F83" s="62"/>
      <c r="G83" s="63"/>
      <c r="H83" s="68" t="str">
        <f>H79+H81</f>
        <v>#REF!</v>
      </c>
      <c r="I83" s="69" t="s">
        <v>41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75" customHeight="1">
      <c r="A85" s="5"/>
      <c r="B85" s="5"/>
      <c r="C85" s="67" t="s">
        <v>43</v>
      </c>
      <c r="D85" s="62"/>
      <c r="E85" s="62"/>
      <c r="F85" s="62"/>
      <c r="G85" s="63"/>
      <c r="H85" s="68" t="str">
        <f>IF(H83&lt;=20000,H81,IF(H79&gt;20000,0,20000-H79))</f>
        <v>#REF!</v>
      </c>
      <c r="I85" s="69" t="s">
        <v>41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5"/>
      <c r="C87" s="67" t="s">
        <v>44</v>
      </c>
      <c r="D87" s="62"/>
      <c r="E87" s="62"/>
      <c r="F87" s="62"/>
      <c r="G87" s="14"/>
      <c r="H87" s="68" t="str">
        <f>IF(H83&gt;20000,H83-H79-H85,0)</f>
        <v>#REF!</v>
      </c>
      <c r="I87" s="69" t="s">
        <v>41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7.25" customHeight="1">
      <c r="A89" s="5"/>
      <c r="B89" s="5"/>
      <c r="C89" s="70" t="s">
        <v>45</v>
      </c>
      <c r="D89" s="71">
        <v>3.79</v>
      </c>
      <c r="E89" s="72" t="s">
        <v>46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32"/>
      <c r="D90" s="71">
        <v>2.23</v>
      </c>
      <c r="E90" s="72" t="s">
        <v>47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30.0" customHeight="1">
      <c r="A92" s="5"/>
      <c r="B92" s="5"/>
      <c r="C92" s="73" t="s">
        <v>48</v>
      </c>
      <c r="D92" s="62"/>
      <c r="E92" s="62"/>
      <c r="F92" s="14"/>
      <c r="G92" s="74" t="str">
        <f>(H85*D89)+(H87*D90)</f>
        <v>#REF!</v>
      </c>
      <c r="H92" s="12"/>
      <c r="I92" s="69" t="s">
        <v>41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75" t="s">
        <v>49</v>
      </c>
      <c r="D94" s="76"/>
      <c r="E94" s="77"/>
      <c r="F94" s="78"/>
      <c r="G94" s="76"/>
      <c r="H94" s="76"/>
      <c r="I94" s="7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79"/>
      <c r="D95" s="65"/>
      <c r="E95" s="80"/>
      <c r="F95" s="79"/>
      <c r="G95" s="65"/>
      <c r="H95" s="65"/>
      <c r="I95" s="80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3.25" customHeight="1">
      <c r="A96" s="5"/>
      <c r="B96" s="5"/>
      <c r="C96" s="81" t="s">
        <v>50</v>
      </c>
      <c r="D96" s="15"/>
      <c r="E96" s="12"/>
      <c r="F96" s="82"/>
      <c r="G96" s="15"/>
      <c r="H96" s="15"/>
      <c r="I96" s="12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0">
    <mergeCell ref="A5:D5"/>
    <mergeCell ref="B7:M7"/>
    <mergeCell ref="C9:D9"/>
    <mergeCell ref="H9:I9"/>
    <mergeCell ref="J9:M9"/>
    <mergeCell ref="C10:D10"/>
    <mergeCell ref="H10:I10"/>
    <mergeCell ref="J10:M10"/>
    <mergeCell ref="B14:M14"/>
    <mergeCell ref="B16:B17"/>
    <mergeCell ref="C16:C17"/>
    <mergeCell ref="D16:E16"/>
    <mergeCell ref="H16:I16"/>
    <mergeCell ref="J16:K16"/>
    <mergeCell ref="F16:G16"/>
    <mergeCell ref="C78:G80"/>
    <mergeCell ref="I79:M79"/>
    <mergeCell ref="C81:G81"/>
    <mergeCell ref="C83:G83"/>
    <mergeCell ref="C85:G85"/>
    <mergeCell ref="C87:G87"/>
    <mergeCell ref="C96:E96"/>
    <mergeCell ref="F96:I96"/>
    <mergeCell ref="C89:C90"/>
    <mergeCell ref="E89:I89"/>
    <mergeCell ref="E90:I90"/>
    <mergeCell ref="C92:F92"/>
    <mergeCell ref="G92:H92"/>
    <mergeCell ref="C94:E95"/>
    <mergeCell ref="F94:I95"/>
  </mergeCells>
  <dataValidations>
    <dataValidation type="decimal" allowBlank="1" showInputMessage="1" showErrorMessage="1" prompt="Ugyldigt tal - Tallet på kilometertælleren skal være mellem 0 and 999.999,9" sqref="J18:K26 J28:K28">
      <formula1>0.0</formula1>
      <formula2>999999.9</formula2>
    </dataValidation>
  </dataValidations>
  <hyperlinks>
    <hyperlink r:id="rId1" ref="A13"/>
  </hyperlinks>
  <printOptions/>
  <pageMargins bottom="0.75" footer="0.0" header="0.0" left="0.7" right="0.7" top="0.75"/>
  <pageSetup orientation="landscape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0.13"/>
    <col customWidth="1" min="3" max="3" width="62.25"/>
    <col customWidth="1" min="4" max="4" width="12.25"/>
    <col customWidth="1" min="5" max="5" width="12.38"/>
    <col customWidth="1" min="6" max="6" width="20.88"/>
    <col customWidth="1" min="7" max="7" width="11.25"/>
    <col customWidth="1" min="8" max="8" width="19.38"/>
    <col customWidth="1" min="9" max="9" width="11.63"/>
    <col customWidth="1" min="10" max="10" width="13.38"/>
    <col customWidth="1" min="11" max="11" width="14.13"/>
    <col customWidth="1" min="12" max="13" width="14.5"/>
    <col customWidth="1" min="14" max="14" width="19.5"/>
    <col customWidth="1" min="15" max="26" width="8.75"/>
  </cols>
  <sheetData>
    <row r="1" ht="12.75" customHeight="1">
      <c r="A1" s="5"/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9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8"/>
      <c r="B9" s="10" t="s">
        <v>4</v>
      </c>
      <c r="C9" s="88">
        <v>45778.0</v>
      </c>
      <c r="D9" s="12"/>
      <c r="E9" s="9"/>
      <c r="F9" s="9"/>
      <c r="G9" s="9"/>
      <c r="H9" s="13" t="s">
        <v>6</v>
      </c>
      <c r="I9" s="14"/>
      <c r="J9" s="11" t="s">
        <v>7</v>
      </c>
      <c r="K9" s="15"/>
      <c r="L9" s="15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8"/>
      <c r="B10" s="16" t="s">
        <v>8</v>
      </c>
      <c r="C10" s="101" t="s">
        <v>63</v>
      </c>
      <c r="D10" s="12"/>
      <c r="E10" s="9"/>
      <c r="F10" s="9"/>
      <c r="G10" s="9"/>
      <c r="H10" s="13" t="s">
        <v>10</v>
      </c>
      <c r="I10" s="14"/>
      <c r="J10" s="17" t="s">
        <v>11</v>
      </c>
      <c r="K10" s="18"/>
      <c r="L10" s="18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20" t="s">
        <v>12</v>
      </c>
      <c r="K11" s="21">
        <f>SUM(L18:L31)</f>
        <v>0</v>
      </c>
      <c r="L11" s="9"/>
      <c r="M11" s="9"/>
      <c r="N11" s="100" t="s">
        <v>85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8"/>
      <c r="B12" s="9"/>
      <c r="C12" s="9"/>
      <c r="D12" s="9"/>
      <c r="E12" s="9"/>
      <c r="F12" s="9"/>
      <c r="G12" s="9"/>
      <c r="H12" s="9"/>
      <c r="I12" s="9"/>
      <c r="J12" s="20" t="s">
        <v>13</v>
      </c>
      <c r="K12" s="89">
        <v>3.81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90" t="s">
        <v>53</v>
      </c>
      <c r="B13" s="8"/>
      <c r="C13" s="8"/>
      <c r="D13" s="8"/>
      <c r="E13" s="5"/>
      <c r="F13" s="5"/>
      <c r="G13" s="5"/>
      <c r="H13" s="5"/>
      <c r="I13" s="5"/>
      <c r="J13" s="20" t="s">
        <v>15</v>
      </c>
      <c r="K13" s="22">
        <f>SUM(K11*K12)</f>
        <v>0</v>
      </c>
      <c r="L13" s="10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24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27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5.25" customHeight="1">
      <c r="A16" s="5"/>
      <c r="B16" s="29" t="s">
        <v>17</v>
      </c>
      <c r="C16" s="30" t="s">
        <v>18</v>
      </c>
      <c r="D16" s="31" t="s">
        <v>19</v>
      </c>
      <c r="E16" s="26"/>
      <c r="F16" s="31" t="s">
        <v>20</v>
      </c>
      <c r="G16" s="26"/>
      <c r="H16" s="31" t="s">
        <v>21</v>
      </c>
      <c r="I16" s="26"/>
      <c r="J16" s="31" t="s">
        <v>22</v>
      </c>
      <c r="K16" s="26"/>
      <c r="L16" s="104"/>
      <c r="M16" s="10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32"/>
      <c r="C17" s="32"/>
      <c r="D17" s="33" t="s">
        <v>24</v>
      </c>
      <c r="E17" s="33" t="s">
        <v>25</v>
      </c>
      <c r="F17" s="33" t="s">
        <v>26</v>
      </c>
      <c r="G17" s="33" t="s">
        <v>27</v>
      </c>
      <c r="H17" s="33" t="s">
        <v>26</v>
      </c>
      <c r="I17" s="33" t="s">
        <v>27</v>
      </c>
      <c r="J17" s="33" t="s">
        <v>28</v>
      </c>
      <c r="K17" s="33" t="s">
        <v>29</v>
      </c>
      <c r="L17" s="105" t="s">
        <v>24</v>
      </c>
      <c r="M17" s="33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5"/>
      <c r="B18" s="102"/>
      <c r="C18" s="125"/>
      <c r="D18" s="126"/>
      <c r="E18" s="127"/>
      <c r="G18" s="44"/>
      <c r="I18" s="108"/>
      <c r="J18" s="128"/>
      <c r="K18" s="129"/>
      <c r="L18" s="106"/>
      <c r="M18" s="130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5"/>
      <c r="B19" s="102"/>
      <c r="C19" s="93"/>
      <c r="D19" s="94"/>
      <c r="E19" s="47"/>
      <c r="G19" s="44"/>
      <c r="H19" s="95"/>
      <c r="I19" s="108"/>
      <c r="J19" s="96"/>
      <c r="K19" s="97"/>
      <c r="L19" s="106"/>
      <c r="M19" s="4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102"/>
      <c r="C20" s="93"/>
      <c r="D20" s="94"/>
      <c r="E20" s="47"/>
      <c r="G20" s="44"/>
      <c r="H20" s="95"/>
      <c r="I20" s="108"/>
      <c r="J20" s="96"/>
      <c r="K20" s="97"/>
      <c r="L20" s="106"/>
      <c r="M20" s="4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102"/>
      <c r="C21" s="93"/>
      <c r="D21" s="94"/>
      <c r="E21" s="47"/>
      <c r="G21" s="44"/>
      <c r="H21" s="95"/>
      <c r="I21" s="108"/>
      <c r="J21" s="96"/>
      <c r="K21" s="97"/>
      <c r="L21" s="106"/>
      <c r="M21" s="4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102"/>
      <c r="C22" s="93"/>
      <c r="D22" s="94"/>
      <c r="E22" s="47"/>
      <c r="G22" s="44"/>
      <c r="H22" s="95"/>
      <c r="I22" s="108"/>
      <c r="J22" s="96"/>
      <c r="K22" s="97"/>
      <c r="L22" s="106"/>
      <c r="M22" s="4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102"/>
      <c r="C23" s="93"/>
      <c r="D23" s="94"/>
      <c r="E23" s="47"/>
      <c r="G23" s="44"/>
      <c r="H23" s="95"/>
      <c r="I23" s="108"/>
      <c r="J23" s="96"/>
      <c r="K23" s="97"/>
      <c r="L23" s="106"/>
      <c r="M23" s="4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102"/>
      <c r="C24" s="93"/>
      <c r="D24" s="94"/>
      <c r="E24" s="47"/>
      <c r="G24" s="44"/>
      <c r="H24" s="95"/>
      <c r="I24" s="108"/>
      <c r="J24" s="96"/>
      <c r="K24" s="97"/>
      <c r="L24" s="106"/>
      <c r="M24" s="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102"/>
      <c r="C25" s="93"/>
      <c r="D25" s="94"/>
      <c r="E25" s="47"/>
      <c r="G25" s="44"/>
      <c r="H25" s="95"/>
      <c r="I25" s="108"/>
      <c r="J25" s="96"/>
      <c r="K25" s="97"/>
      <c r="L25" s="106"/>
      <c r="M25" s="4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102"/>
      <c r="C26" s="93"/>
      <c r="D26" s="94"/>
      <c r="E26" s="47"/>
      <c r="G26" s="44"/>
      <c r="H26" s="95"/>
      <c r="I26" s="108"/>
      <c r="J26" s="96"/>
      <c r="K26" s="96"/>
      <c r="L26" s="106"/>
      <c r="M26" s="4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34"/>
      <c r="C28" s="35"/>
      <c r="D28" s="36"/>
      <c r="E28" s="47"/>
      <c r="G28" s="44"/>
      <c r="H28" s="39"/>
      <c r="I28" s="44"/>
      <c r="J28" s="41"/>
      <c r="K28" s="42"/>
      <c r="L28" s="106"/>
      <c r="M28" s="4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34"/>
      <c r="C29" s="35"/>
      <c r="D29" s="47"/>
      <c r="E29" s="47"/>
      <c r="F29" s="39"/>
      <c r="G29" s="44"/>
      <c r="H29" s="47"/>
      <c r="I29" s="44"/>
      <c r="J29" s="43"/>
      <c r="K29" s="43"/>
      <c r="L29" s="43"/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34"/>
      <c r="C30" s="35"/>
      <c r="D30" s="47"/>
      <c r="E30" s="47"/>
      <c r="F30" s="39"/>
      <c r="G30" s="44"/>
      <c r="H30" s="47"/>
      <c r="I30" s="44"/>
      <c r="J30" s="43"/>
      <c r="K30" s="43"/>
      <c r="L30" s="43"/>
      <c r="M30" s="4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34"/>
      <c r="C31" s="35"/>
      <c r="D31" s="47"/>
      <c r="E31" s="47"/>
      <c r="F31" s="39"/>
      <c r="G31" s="44"/>
      <c r="H31" s="47"/>
      <c r="I31" s="44"/>
      <c r="J31" s="43"/>
      <c r="K31" s="43"/>
      <c r="L31" s="43"/>
      <c r="M31" s="4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34"/>
      <c r="C32" s="35"/>
      <c r="D32" s="47"/>
      <c r="E32" s="47"/>
      <c r="F32" s="39"/>
      <c r="G32" s="44"/>
      <c r="H32" s="47"/>
      <c r="I32" s="44"/>
      <c r="J32" s="43"/>
      <c r="K32" s="43"/>
      <c r="L32" s="43"/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34"/>
      <c r="C33" s="35"/>
      <c r="D33" s="47"/>
      <c r="E33" s="47"/>
      <c r="F33" s="39"/>
      <c r="G33" s="44"/>
      <c r="H33" s="47"/>
      <c r="I33" s="44"/>
      <c r="J33" s="43"/>
      <c r="K33" s="43"/>
      <c r="L33" s="43"/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34"/>
      <c r="C34" s="35"/>
      <c r="D34" s="47"/>
      <c r="E34" s="47"/>
      <c r="F34" s="39"/>
      <c r="G34" s="44"/>
      <c r="H34" s="47"/>
      <c r="I34" s="44"/>
      <c r="J34" s="43"/>
      <c r="K34" s="43"/>
      <c r="L34" s="43"/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34"/>
      <c r="C35" s="35"/>
      <c r="D35" s="47"/>
      <c r="E35" s="47"/>
      <c r="F35" s="39"/>
      <c r="G35" s="44"/>
      <c r="H35" s="47"/>
      <c r="I35" s="44"/>
      <c r="J35" s="43"/>
      <c r="K35" s="43"/>
      <c r="L35" s="43"/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34"/>
      <c r="C36" s="35"/>
      <c r="D36" s="47"/>
      <c r="E36" s="47"/>
      <c r="F36" s="39"/>
      <c r="G36" s="44"/>
      <c r="H36" s="47"/>
      <c r="I36" s="44"/>
      <c r="J36" s="43"/>
      <c r="K36" s="43"/>
      <c r="L36" s="43"/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34"/>
      <c r="C37" s="35"/>
      <c r="D37" s="47"/>
      <c r="E37" s="47"/>
      <c r="F37" s="39"/>
      <c r="G37" s="44"/>
      <c r="H37" s="47"/>
      <c r="I37" s="44"/>
      <c r="J37" s="43"/>
      <c r="K37" s="43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34"/>
      <c r="C38" s="35"/>
      <c r="D38" s="47"/>
      <c r="E38" s="47"/>
      <c r="F38" s="39"/>
      <c r="G38" s="44"/>
      <c r="H38" s="47"/>
      <c r="I38" s="44"/>
      <c r="J38" s="43"/>
      <c r="K38" s="43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34"/>
      <c r="C39" s="35"/>
      <c r="D39" s="47"/>
      <c r="E39" s="47"/>
      <c r="F39" s="39"/>
      <c r="G39" s="44"/>
      <c r="H39" s="47"/>
      <c r="I39" s="44"/>
      <c r="J39" s="43"/>
      <c r="K39" s="43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34"/>
      <c r="C40" s="35"/>
      <c r="D40" s="47"/>
      <c r="E40" s="47"/>
      <c r="F40" s="39"/>
      <c r="G40" s="44"/>
      <c r="H40" s="47"/>
      <c r="I40" s="44"/>
      <c r="J40" s="43"/>
      <c r="K40" s="43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34"/>
      <c r="C41" s="35"/>
      <c r="D41" s="47"/>
      <c r="E41" s="47"/>
      <c r="F41" s="39"/>
      <c r="G41" s="44"/>
      <c r="H41" s="47"/>
      <c r="I41" s="44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34"/>
      <c r="C42" s="35"/>
      <c r="D42" s="47"/>
      <c r="E42" s="47"/>
      <c r="F42" s="39"/>
      <c r="G42" s="44"/>
      <c r="H42" s="47"/>
      <c r="I42" s="44"/>
      <c r="J42" s="43"/>
      <c r="K42" s="43"/>
      <c r="L42" s="43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34"/>
      <c r="C43" s="35"/>
      <c r="D43" s="47"/>
      <c r="E43" s="47"/>
      <c r="F43" s="39"/>
      <c r="G43" s="44"/>
      <c r="H43" s="47"/>
      <c r="I43" s="44"/>
      <c r="J43" s="43"/>
      <c r="K43" s="43"/>
      <c r="L43" s="43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34"/>
      <c r="C44" s="35"/>
      <c r="D44" s="47"/>
      <c r="E44" s="47"/>
      <c r="F44" s="39"/>
      <c r="G44" s="44"/>
      <c r="H44" s="47"/>
      <c r="I44" s="44"/>
      <c r="J44" s="43"/>
      <c r="K44" s="43"/>
      <c r="L44" s="43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34"/>
      <c r="C45" s="53"/>
      <c r="D45" s="54"/>
      <c r="E45" s="54"/>
      <c r="F45" s="39"/>
      <c r="G45" s="44"/>
      <c r="H45" s="54"/>
      <c r="I45" s="44"/>
      <c r="J45" s="55"/>
      <c r="K45" s="55"/>
      <c r="L45" s="107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34"/>
      <c r="C46" s="35"/>
      <c r="D46" s="47"/>
      <c r="E46" s="47"/>
      <c r="F46" s="39"/>
      <c r="G46" s="44"/>
      <c r="H46" s="47"/>
      <c r="I46" s="44"/>
      <c r="J46" s="43"/>
      <c r="K46" s="43"/>
      <c r="L46" s="43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34"/>
      <c r="C47" s="35"/>
      <c r="D47" s="47"/>
      <c r="E47" s="47"/>
      <c r="F47" s="39"/>
      <c r="G47" s="44"/>
      <c r="H47" s="47"/>
      <c r="I47" s="44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34"/>
      <c r="C48" s="35"/>
      <c r="D48" s="47"/>
      <c r="E48" s="47"/>
      <c r="F48" s="39"/>
      <c r="G48" s="44"/>
      <c r="H48" s="47"/>
      <c r="I48" s="44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34"/>
      <c r="C49" s="35"/>
      <c r="D49" s="47"/>
      <c r="E49" s="47"/>
      <c r="F49" s="39"/>
      <c r="G49" s="44"/>
      <c r="H49" s="47"/>
      <c r="I49" s="44"/>
      <c r="J49" s="43"/>
      <c r="K49" s="43"/>
      <c r="L49" s="43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34"/>
      <c r="C50" s="35"/>
      <c r="D50" s="47"/>
      <c r="E50" s="47"/>
      <c r="F50" s="39"/>
      <c r="G50" s="44"/>
      <c r="H50" s="47"/>
      <c r="I50" s="44"/>
      <c r="J50" s="43"/>
      <c r="K50" s="43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34"/>
      <c r="C51" s="35"/>
      <c r="D51" s="47"/>
      <c r="E51" s="47"/>
      <c r="F51" s="39"/>
      <c r="G51" s="44"/>
      <c r="H51" s="47"/>
      <c r="I51" s="44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34"/>
      <c r="C52" s="35"/>
      <c r="D52" s="47"/>
      <c r="E52" s="47"/>
      <c r="F52" s="39"/>
      <c r="G52" s="44"/>
      <c r="H52" s="47"/>
      <c r="I52" s="44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34"/>
      <c r="C53" s="35"/>
      <c r="D53" s="47"/>
      <c r="E53" s="47"/>
      <c r="F53" s="39"/>
      <c r="G53" s="44"/>
      <c r="H53" s="47"/>
      <c r="I53" s="44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34"/>
      <c r="C54" s="35"/>
      <c r="D54" s="47"/>
      <c r="E54" s="47"/>
      <c r="F54" s="39"/>
      <c r="G54" s="44"/>
      <c r="H54" s="47"/>
      <c r="I54" s="44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34"/>
      <c r="C55" s="35"/>
      <c r="D55" s="47"/>
      <c r="E55" s="47"/>
      <c r="F55" s="39"/>
      <c r="G55" s="44"/>
      <c r="H55" s="47"/>
      <c r="I55" s="44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34"/>
      <c r="C56" s="35"/>
      <c r="D56" s="47"/>
      <c r="E56" s="47"/>
      <c r="F56" s="39"/>
      <c r="G56" s="44"/>
      <c r="H56" s="47"/>
      <c r="I56" s="44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34"/>
      <c r="C57" s="35"/>
      <c r="D57" s="47"/>
      <c r="E57" s="47"/>
      <c r="F57" s="39"/>
      <c r="G57" s="44"/>
      <c r="H57" s="47"/>
      <c r="I57" s="44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34"/>
      <c r="C58" s="35"/>
      <c r="D58" s="47"/>
      <c r="E58" s="47"/>
      <c r="F58" s="39"/>
      <c r="G58" s="44"/>
      <c r="H58" s="47"/>
      <c r="I58" s="44"/>
      <c r="J58" s="43"/>
      <c r="K58" s="43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34"/>
      <c r="C59" s="35"/>
      <c r="D59" s="47"/>
      <c r="E59" s="47"/>
      <c r="F59" s="39"/>
      <c r="G59" s="44"/>
      <c r="H59" s="47"/>
      <c r="I59" s="44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34"/>
      <c r="C60" s="35"/>
      <c r="D60" s="47"/>
      <c r="E60" s="47"/>
      <c r="F60" s="39"/>
      <c r="G60" s="44"/>
      <c r="H60" s="47"/>
      <c r="I60" s="44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34"/>
      <c r="C61" s="35"/>
      <c r="D61" s="47"/>
      <c r="E61" s="47"/>
      <c r="F61" s="39"/>
      <c r="G61" s="44"/>
      <c r="H61" s="47"/>
      <c r="I61" s="44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34"/>
      <c r="C62" s="35"/>
      <c r="D62" s="47"/>
      <c r="E62" s="47"/>
      <c r="F62" s="39"/>
      <c r="G62" s="44"/>
      <c r="H62" s="47"/>
      <c r="I62" s="44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34"/>
      <c r="C63" s="35"/>
      <c r="D63" s="47"/>
      <c r="E63" s="47"/>
      <c r="F63" s="39"/>
      <c r="G63" s="44"/>
      <c r="H63" s="47"/>
      <c r="I63" s="44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34"/>
      <c r="C64" s="35"/>
      <c r="D64" s="47"/>
      <c r="E64" s="47"/>
      <c r="F64" s="39"/>
      <c r="G64" s="44"/>
      <c r="H64" s="47"/>
      <c r="I64" s="44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34"/>
      <c r="C65" s="35"/>
      <c r="D65" s="47"/>
      <c r="E65" s="47"/>
      <c r="F65" s="39"/>
      <c r="G65" s="44"/>
      <c r="H65" s="47"/>
      <c r="I65" s="44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34"/>
      <c r="C66" s="35"/>
      <c r="D66" s="47"/>
      <c r="E66" s="47"/>
      <c r="F66" s="39"/>
      <c r="G66" s="44"/>
      <c r="H66" s="47"/>
      <c r="I66" s="44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34"/>
      <c r="C67" s="35"/>
      <c r="D67" s="47"/>
      <c r="E67" s="47"/>
      <c r="F67" s="39"/>
      <c r="G67" s="44"/>
      <c r="H67" s="47"/>
      <c r="I67" s="44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34"/>
      <c r="C68" s="35"/>
      <c r="D68" s="47"/>
      <c r="E68" s="47"/>
      <c r="F68" s="39"/>
      <c r="G68" s="44"/>
      <c r="H68" s="47"/>
      <c r="I68" s="44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34"/>
      <c r="C69" s="35"/>
      <c r="D69" s="47"/>
      <c r="E69" s="47"/>
      <c r="F69" s="39"/>
      <c r="G69" s="44"/>
      <c r="H69" s="47"/>
      <c r="I69" s="44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34"/>
      <c r="C70" s="35"/>
      <c r="D70" s="47"/>
      <c r="E70" s="47"/>
      <c r="F70" s="39"/>
      <c r="G70" s="44"/>
      <c r="H70" s="47"/>
      <c r="I70" s="44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34"/>
      <c r="C71" s="35"/>
      <c r="D71" s="47"/>
      <c r="E71" s="47"/>
      <c r="F71" s="39"/>
      <c r="G71" s="44"/>
      <c r="H71" s="47"/>
      <c r="I71" s="44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34"/>
      <c r="C72" s="35"/>
      <c r="D72" s="47"/>
      <c r="E72" s="47"/>
      <c r="F72" s="39"/>
      <c r="G72" s="44"/>
      <c r="H72" s="47"/>
      <c r="I72" s="44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34"/>
      <c r="C73" s="35"/>
      <c r="D73" s="47"/>
      <c r="E73" s="47"/>
      <c r="F73" s="39"/>
      <c r="G73" s="44"/>
      <c r="H73" s="47"/>
      <c r="I73" s="44"/>
      <c r="J73" s="43"/>
      <c r="K73" s="43"/>
      <c r="L73" s="43"/>
      <c r="M73" s="4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34"/>
      <c r="C74" s="35"/>
      <c r="D74" s="47"/>
      <c r="E74" s="47"/>
      <c r="F74" s="39"/>
      <c r="G74" s="44"/>
      <c r="H74" s="47"/>
      <c r="I74" s="44"/>
      <c r="J74" s="43"/>
      <c r="K74" s="43"/>
      <c r="L74" s="43"/>
      <c r="M74" s="4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34"/>
      <c r="C75" s="35"/>
      <c r="D75" s="47"/>
      <c r="E75" s="47"/>
      <c r="F75" s="39"/>
      <c r="G75" s="44"/>
      <c r="H75" s="47"/>
      <c r="I75" s="44"/>
      <c r="J75" s="43"/>
      <c r="K75" s="43"/>
      <c r="L75" s="43"/>
      <c r="M75" s="43">
        <f t="shared" ref="M75:M76" si="1">(K75-J75)*E75</f>
        <v>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34"/>
      <c r="C76" s="35"/>
      <c r="D76" s="47"/>
      <c r="E76" s="47"/>
      <c r="F76" s="39"/>
      <c r="G76" s="44"/>
      <c r="H76" s="47"/>
      <c r="I76" s="44"/>
      <c r="J76" s="43"/>
      <c r="K76" s="43"/>
      <c r="L76" s="43"/>
      <c r="M76" s="43">
        <f t="shared" si="1"/>
        <v>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6" t="s">
        <v>38</v>
      </c>
      <c r="D78" s="57"/>
      <c r="E78" s="57"/>
      <c r="F78" s="57"/>
      <c r="G78" s="5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9"/>
      <c r="G79" s="60"/>
      <c r="H79" s="43">
        <v>0.0</v>
      </c>
      <c r="I79" s="61" t="s">
        <v>39</v>
      </c>
      <c r="J79" s="62"/>
      <c r="K79" s="62"/>
      <c r="L79" s="62"/>
      <c r="M79" s="6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64"/>
      <c r="D80" s="65"/>
      <c r="E80" s="65"/>
      <c r="F80" s="65"/>
      <c r="G80" s="6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5"/>
      <c r="C81" s="67" t="s">
        <v>40</v>
      </c>
      <c r="D81" s="62"/>
      <c r="E81" s="62"/>
      <c r="F81" s="62"/>
      <c r="G81" s="14"/>
      <c r="H81" s="68" t="str">
        <f>SUM(#REF!)</f>
        <v>#REF!</v>
      </c>
      <c r="I81" s="69" t="s">
        <v>41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5"/>
      <c r="B83" s="5"/>
      <c r="C83" s="67" t="s">
        <v>42</v>
      </c>
      <c r="D83" s="62"/>
      <c r="E83" s="62"/>
      <c r="F83" s="62"/>
      <c r="G83" s="63"/>
      <c r="H83" s="68" t="str">
        <f>H79+H81</f>
        <v>#REF!</v>
      </c>
      <c r="I83" s="69" t="s">
        <v>41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75" customHeight="1">
      <c r="A85" s="5"/>
      <c r="B85" s="5"/>
      <c r="C85" s="67" t="s">
        <v>43</v>
      </c>
      <c r="D85" s="62"/>
      <c r="E85" s="62"/>
      <c r="F85" s="62"/>
      <c r="G85" s="63"/>
      <c r="H85" s="68" t="str">
        <f>IF(H83&lt;=20000,H81,IF(H79&gt;20000,0,20000-H79))</f>
        <v>#REF!</v>
      </c>
      <c r="I85" s="69" t="s">
        <v>41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5"/>
      <c r="C87" s="67" t="s">
        <v>44</v>
      </c>
      <c r="D87" s="62"/>
      <c r="E87" s="62"/>
      <c r="F87" s="62"/>
      <c r="G87" s="14"/>
      <c r="H87" s="68" t="str">
        <f>IF(H83&gt;20000,H83-H79-H85,0)</f>
        <v>#REF!</v>
      </c>
      <c r="I87" s="69" t="s">
        <v>41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7.25" customHeight="1">
      <c r="A89" s="5"/>
      <c r="B89" s="5"/>
      <c r="C89" s="70" t="s">
        <v>45</v>
      </c>
      <c r="D89" s="71">
        <v>3.79</v>
      </c>
      <c r="E89" s="72" t="s">
        <v>46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32"/>
      <c r="D90" s="71">
        <v>2.23</v>
      </c>
      <c r="E90" s="72" t="s">
        <v>47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30.0" customHeight="1">
      <c r="A92" s="5"/>
      <c r="B92" s="5"/>
      <c r="C92" s="73" t="s">
        <v>48</v>
      </c>
      <c r="D92" s="62"/>
      <c r="E92" s="62"/>
      <c r="F92" s="14"/>
      <c r="G92" s="74" t="str">
        <f>(H85*D89)+(H87*D90)</f>
        <v>#REF!</v>
      </c>
      <c r="H92" s="12"/>
      <c r="I92" s="69" t="s">
        <v>41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75" t="s">
        <v>49</v>
      </c>
      <c r="D94" s="76"/>
      <c r="E94" s="77"/>
      <c r="F94" s="78"/>
      <c r="G94" s="76"/>
      <c r="H94" s="76"/>
      <c r="I94" s="7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79"/>
      <c r="D95" s="65"/>
      <c r="E95" s="80"/>
      <c r="F95" s="79"/>
      <c r="G95" s="65"/>
      <c r="H95" s="65"/>
      <c r="I95" s="80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3.25" customHeight="1">
      <c r="A96" s="5"/>
      <c r="B96" s="5"/>
      <c r="C96" s="81" t="s">
        <v>50</v>
      </c>
      <c r="D96" s="15"/>
      <c r="E96" s="12"/>
      <c r="F96" s="82"/>
      <c r="G96" s="15"/>
      <c r="H96" s="15"/>
      <c r="I96" s="12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0">
    <mergeCell ref="A5:D5"/>
    <mergeCell ref="B7:M7"/>
    <mergeCell ref="C9:D9"/>
    <mergeCell ref="H9:I9"/>
    <mergeCell ref="J9:M9"/>
    <mergeCell ref="C10:D10"/>
    <mergeCell ref="H10:I10"/>
    <mergeCell ref="J10:M10"/>
    <mergeCell ref="B14:M14"/>
    <mergeCell ref="B16:B17"/>
    <mergeCell ref="C16:C17"/>
    <mergeCell ref="D16:E16"/>
    <mergeCell ref="H16:I16"/>
    <mergeCell ref="J16:K16"/>
    <mergeCell ref="F16:G16"/>
    <mergeCell ref="C78:G80"/>
    <mergeCell ref="I79:M79"/>
    <mergeCell ref="C81:G81"/>
    <mergeCell ref="C83:G83"/>
    <mergeCell ref="C85:G85"/>
    <mergeCell ref="C87:G87"/>
    <mergeCell ref="C96:E96"/>
    <mergeCell ref="F96:I96"/>
    <mergeCell ref="C89:C90"/>
    <mergeCell ref="E89:I89"/>
    <mergeCell ref="E90:I90"/>
    <mergeCell ref="C92:F92"/>
    <mergeCell ref="G92:H92"/>
    <mergeCell ref="C94:E95"/>
    <mergeCell ref="F94:I95"/>
  </mergeCells>
  <dataValidations>
    <dataValidation type="decimal" allowBlank="1" showInputMessage="1" showErrorMessage="1" prompt="Ugyldigt tal - Tallet på kilometertælleren skal være mellem 0 and 999.999,9" sqref="J18:K26 J28:K28">
      <formula1>0.0</formula1>
      <formula2>999999.9</formula2>
    </dataValidation>
  </dataValidations>
  <hyperlinks>
    <hyperlink r:id="rId1" ref="A13"/>
  </hyperlinks>
  <printOptions/>
  <pageMargins bottom="0.75" footer="0.0" header="0.0" left="0.7" right="0.7" top="0.75"/>
  <pageSetup orientation="landscape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0.13"/>
    <col customWidth="1" min="3" max="3" width="62.25"/>
    <col customWidth="1" min="4" max="4" width="12.25"/>
    <col customWidth="1" min="5" max="5" width="12.38"/>
    <col customWidth="1" min="6" max="6" width="20.88"/>
    <col customWidth="1" min="7" max="7" width="11.25"/>
    <col customWidth="1" min="8" max="8" width="19.38"/>
    <col customWidth="1" min="9" max="9" width="11.63"/>
    <col customWidth="1" min="10" max="10" width="13.38"/>
    <col customWidth="1" min="11" max="11" width="14.13"/>
    <col customWidth="1" min="12" max="13" width="14.5"/>
    <col customWidth="1" min="14" max="14" width="19.5"/>
    <col customWidth="1" min="15" max="26" width="8.75"/>
  </cols>
  <sheetData>
    <row r="1" ht="12.75" customHeight="1">
      <c r="A1" s="5"/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9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8"/>
      <c r="B9" s="10" t="s">
        <v>4</v>
      </c>
      <c r="C9" s="88">
        <v>45778.0</v>
      </c>
      <c r="D9" s="12"/>
      <c r="E9" s="9"/>
      <c r="F9" s="9"/>
      <c r="G9" s="9"/>
      <c r="H9" s="13" t="s">
        <v>6</v>
      </c>
      <c r="I9" s="14"/>
      <c r="J9" s="11" t="s">
        <v>7</v>
      </c>
      <c r="K9" s="15"/>
      <c r="L9" s="15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8"/>
      <c r="B10" s="16" t="s">
        <v>8</v>
      </c>
      <c r="C10" s="101" t="s">
        <v>63</v>
      </c>
      <c r="D10" s="12"/>
      <c r="E10" s="9"/>
      <c r="F10" s="9"/>
      <c r="G10" s="9"/>
      <c r="H10" s="13" t="s">
        <v>10</v>
      </c>
      <c r="I10" s="14"/>
      <c r="J10" s="17" t="s">
        <v>11</v>
      </c>
      <c r="K10" s="18"/>
      <c r="L10" s="18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20" t="s">
        <v>12</v>
      </c>
      <c r="K11" s="21">
        <f>SUM(L18:L31)</f>
        <v>0</v>
      </c>
      <c r="L11" s="9"/>
      <c r="M11" s="9"/>
      <c r="N11" s="100" t="s">
        <v>85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8"/>
      <c r="B12" s="9"/>
      <c r="C12" s="9"/>
      <c r="D12" s="9"/>
      <c r="E12" s="9"/>
      <c r="F12" s="9"/>
      <c r="G12" s="9"/>
      <c r="H12" s="9"/>
      <c r="I12" s="9"/>
      <c r="J12" s="20" t="s">
        <v>13</v>
      </c>
      <c r="K12" s="89">
        <v>3.81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90" t="s">
        <v>53</v>
      </c>
      <c r="B13" s="8"/>
      <c r="C13" s="8"/>
      <c r="D13" s="8"/>
      <c r="E13" s="5"/>
      <c r="F13" s="5"/>
      <c r="G13" s="5"/>
      <c r="H13" s="5"/>
      <c r="I13" s="5"/>
      <c r="J13" s="20" t="s">
        <v>15</v>
      </c>
      <c r="K13" s="22">
        <f>SUM(K11*K12)</f>
        <v>0</v>
      </c>
      <c r="L13" s="10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24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27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5.25" customHeight="1">
      <c r="A16" s="5"/>
      <c r="B16" s="29" t="s">
        <v>17</v>
      </c>
      <c r="C16" s="30" t="s">
        <v>18</v>
      </c>
      <c r="D16" s="31" t="s">
        <v>19</v>
      </c>
      <c r="E16" s="26"/>
      <c r="F16" s="31" t="s">
        <v>20</v>
      </c>
      <c r="G16" s="26"/>
      <c r="H16" s="31" t="s">
        <v>21</v>
      </c>
      <c r="I16" s="26"/>
      <c r="J16" s="31" t="s">
        <v>22</v>
      </c>
      <c r="K16" s="26"/>
      <c r="L16" s="104"/>
      <c r="M16" s="10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32"/>
      <c r="C17" s="32"/>
      <c r="D17" s="33" t="s">
        <v>24</v>
      </c>
      <c r="E17" s="33" t="s">
        <v>25</v>
      </c>
      <c r="F17" s="33" t="s">
        <v>26</v>
      </c>
      <c r="G17" s="33" t="s">
        <v>27</v>
      </c>
      <c r="H17" s="33" t="s">
        <v>26</v>
      </c>
      <c r="I17" s="33" t="s">
        <v>27</v>
      </c>
      <c r="J17" s="33" t="s">
        <v>28</v>
      </c>
      <c r="K17" s="33" t="s">
        <v>29</v>
      </c>
      <c r="L17" s="105" t="s">
        <v>24</v>
      </c>
      <c r="M17" s="33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5"/>
      <c r="B18" s="102">
        <v>45846.0</v>
      </c>
      <c r="C18" s="125" t="s">
        <v>122</v>
      </c>
      <c r="D18" s="126">
        <v>1.0</v>
      </c>
      <c r="E18" s="127"/>
      <c r="F18" s="1" t="s">
        <v>31</v>
      </c>
      <c r="G18" s="1">
        <v>2791.0</v>
      </c>
      <c r="H18" s="1" t="s">
        <v>123</v>
      </c>
      <c r="I18" s="40">
        <v>2100.0</v>
      </c>
      <c r="J18" s="128"/>
      <c r="K18" s="129"/>
      <c r="L18" s="106"/>
      <c r="M18" s="130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5"/>
      <c r="B19" s="102">
        <v>45854.0</v>
      </c>
      <c r="C19" s="93" t="s">
        <v>124</v>
      </c>
      <c r="D19" s="94">
        <v>1.0</v>
      </c>
      <c r="E19" s="47"/>
      <c r="F19" s="1" t="s">
        <v>31</v>
      </c>
      <c r="G19" s="1">
        <v>2791.0</v>
      </c>
      <c r="H19" s="95" t="s">
        <v>99</v>
      </c>
      <c r="I19" s="108">
        <v>2730.0</v>
      </c>
      <c r="J19" s="96">
        <v>40.0</v>
      </c>
      <c r="K19" s="97">
        <v>40.0</v>
      </c>
      <c r="L19" s="106"/>
      <c r="M19" s="4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102">
        <v>45855.0</v>
      </c>
      <c r="C20" s="93" t="s">
        <v>124</v>
      </c>
      <c r="D20" s="94">
        <v>1.0</v>
      </c>
      <c r="E20" s="47"/>
      <c r="F20" s="1" t="s">
        <v>31</v>
      </c>
      <c r="G20" s="1">
        <v>2791.0</v>
      </c>
      <c r="H20" s="95" t="s">
        <v>99</v>
      </c>
      <c r="I20" s="108">
        <v>2730.0</v>
      </c>
      <c r="J20" s="96">
        <v>40.0</v>
      </c>
      <c r="K20" s="97">
        <v>40.0</v>
      </c>
      <c r="L20" s="106"/>
      <c r="M20" s="4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102">
        <v>45856.0</v>
      </c>
      <c r="C21" s="93" t="s">
        <v>124</v>
      </c>
      <c r="D21" s="94">
        <v>1.0</v>
      </c>
      <c r="E21" s="47"/>
      <c r="F21" s="1" t="s">
        <v>31</v>
      </c>
      <c r="G21" s="1">
        <v>2791.0</v>
      </c>
      <c r="H21" s="95" t="s">
        <v>99</v>
      </c>
      <c r="I21" s="108">
        <v>2730.0</v>
      </c>
      <c r="J21" s="96">
        <v>40.0</v>
      </c>
      <c r="K21" s="97">
        <v>40.0</v>
      </c>
      <c r="L21" s="106"/>
      <c r="M21" s="4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102">
        <v>45859.0</v>
      </c>
      <c r="C22" s="93" t="s">
        <v>125</v>
      </c>
      <c r="D22" s="94"/>
      <c r="E22" s="47"/>
      <c r="G22" s="44"/>
      <c r="H22" s="95"/>
      <c r="I22" s="108"/>
      <c r="J22" s="96"/>
      <c r="K22" s="97"/>
      <c r="L22" s="106"/>
      <c r="M22" s="4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102">
        <v>45860.0</v>
      </c>
      <c r="C23" s="93" t="s">
        <v>125</v>
      </c>
      <c r="D23" s="94"/>
      <c r="E23" s="47"/>
      <c r="G23" s="44"/>
      <c r="H23" s="95"/>
      <c r="I23" s="108"/>
      <c r="J23" s="96"/>
      <c r="K23" s="97"/>
      <c r="L23" s="106"/>
      <c r="M23" s="4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102">
        <v>45862.0</v>
      </c>
      <c r="C24" s="93" t="s">
        <v>125</v>
      </c>
      <c r="D24" s="94"/>
      <c r="E24" s="47"/>
      <c r="G24" s="44"/>
      <c r="H24" s="95"/>
      <c r="I24" s="108"/>
      <c r="J24" s="96"/>
      <c r="K24" s="97"/>
      <c r="L24" s="106"/>
      <c r="M24" s="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102">
        <v>45863.0</v>
      </c>
      <c r="C25" s="93" t="s">
        <v>125</v>
      </c>
      <c r="D25" s="94"/>
      <c r="E25" s="47"/>
      <c r="G25" s="44"/>
      <c r="H25" s="95"/>
      <c r="I25" s="108"/>
      <c r="J25" s="96"/>
      <c r="K25" s="97"/>
      <c r="L25" s="106"/>
      <c r="M25" s="4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102"/>
      <c r="C26" s="93"/>
      <c r="D26" s="94"/>
      <c r="E26" s="47"/>
      <c r="G26" s="44"/>
      <c r="H26" s="95"/>
      <c r="I26" s="108"/>
      <c r="J26" s="96"/>
      <c r="K26" s="96"/>
      <c r="L26" s="106"/>
      <c r="M26" s="4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34"/>
      <c r="C28" s="35"/>
      <c r="D28" s="36"/>
      <c r="E28" s="47"/>
      <c r="G28" s="44"/>
      <c r="H28" s="39"/>
      <c r="I28" s="44"/>
      <c r="J28" s="41"/>
      <c r="K28" s="42"/>
      <c r="L28" s="106"/>
      <c r="M28" s="4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34"/>
      <c r="C29" s="35"/>
      <c r="D29" s="47"/>
      <c r="E29" s="47"/>
      <c r="F29" s="39"/>
      <c r="G29" s="44"/>
      <c r="H29" s="47"/>
      <c r="I29" s="44"/>
      <c r="J29" s="43"/>
      <c r="K29" s="43"/>
      <c r="L29" s="43"/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34"/>
      <c r="C30" s="35"/>
      <c r="D30" s="47"/>
      <c r="E30" s="47"/>
      <c r="F30" s="39"/>
      <c r="G30" s="44"/>
      <c r="H30" s="47"/>
      <c r="I30" s="44"/>
      <c r="J30" s="43"/>
      <c r="K30" s="43"/>
      <c r="L30" s="43"/>
      <c r="M30" s="4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34"/>
      <c r="C31" s="35"/>
      <c r="D31" s="47"/>
      <c r="E31" s="47"/>
      <c r="F31" s="39"/>
      <c r="G31" s="44"/>
      <c r="H31" s="47"/>
      <c r="I31" s="44"/>
      <c r="J31" s="43"/>
      <c r="K31" s="43"/>
      <c r="L31" s="43"/>
      <c r="M31" s="4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34"/>
      <c r="C32" s="35"/>
      <c r="D32" s="47"/>
      <c r="E32" s="47"/>
      <c r="F32" s="39"/>
      <c r="G32" s="44"/>
      <c r="H32" s="47"/>
      <c r="I32" s="44"/>
      <c r="J32" s="43"/>
      <c r="K32" s="43"/>
      <c r="L32" s="43"/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34"/>
      <c r="C33" s="35"/>
      <c r="D33" s="47"/>
      <c r="E33" s="47"/>
      <c r="F33" s="39"/>
      <c r="G33" s="44"/>
      <c r="H33" s="47"/>
      <c r="I33" s="44"/>
      <c r="J33" s="43"/>
      <c r="K33" s="43"/>
      <c r="L33" s="43"/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34"/>
      <c r="C34" s="35"/>
      <c r="D34" s="47"/>
      <c r="E34" s="47"/>
      <c r="F34" s="39"/>
      <c r="G34" s="44"/>
      <c r="H34" s="47"/>
      <c r="I34" s="44"/>
      <c r="J34" s="43"/>
      <c r="K34" s="43"/>
      <c r="L34" s="43"/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34"/>
      <c r="C35" s="35"/>
      <c r="D35" s="47"/>
      <c r="E35" s="47"/>
      <c r="F35" s="39"/>
      <c r="G35" s="44"/>
      <c r="H35" s="47"/>
      <c r="I35" s="44"/>
      <c r="J35" s="43"/>
      <c r="K35" s="43"/>
      <c r="L35" s="43"/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34"/>
      <c r="C36" s="35"/>
      <c r="D36" s="47"/>
      <c r="E36" s="47"/>
      <c r="F36" s="39"/>
      <c r="G36" s="44"/>
      <c r="H36" s="47"/>
      <c r="I36" s="44"/>
      <c r="J36" s="43"/>
      <c r="K36" s="43"/>
      <c r="L36" s="43"/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34"/>
      <c r="C37" s="35"/>
      <c r="D37" s="47"/>
      <c r="E37" s="47"/>
      <c r="F37" s="39"/>
      <c r="G37" s="44"/>
      <c r="H37" s="47"/>
      <c r="I37" s="44"/>
      <c r="J37" s="43"/>
      <c r="K37" s="43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34"/>
      <c r="C38" s="35"/>
      <c r="D38" s="47"/>
      <c r="E38" s="47"/>
      <c r="F38" s="39"/>
      <c r="G38" s="44"/>
      <c r="H38" s="47"/>
      <c r="I38" s="44"/>
      <c r="J38" s="43"/>
      <c r="K38" s="43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34"/>
      <c r="C39" s="35"/>
      <c r="D39" s="47"/>
      <c r="E39" s="47"/>
      <c r="F39" s="39"/>
      <c r="G39" s="44"/>
      <c r="H39" s="47"/>
      <c r="I39" s="44"/>
      <c r="J39" s="43"/>
      <c r="K39" s="43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34"/>
      <c r="C40" s="35"/>
      <c r="D40" s="47"/>
      <c r="E40" s="47"/>
      <c r="F40" s="39"/>
      <c r="G40" s="44"/>
      <c r="H40" s="47"/>
      <c r="I40" s="44"/>
      <c r="J40" s="43"/>
      <c r="K40" s="43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34"/>
      <c r="C41" s="35"/>
      <c r="D41" s="47"/>
      <c r="E41" s="47"/>
      <c r="F41" s="39"/>
      <c r="G41" s="44"/>
      <c r="H41" s="47"/>
      <c r="I41" s="44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34"/>
      <c r="C42" s="35"/>
      <c r="D42" s="47"/>
      <c r="E42" s="47"/>
      <c r="F42" s="39"/>
      <c r="G42" s="44"/>
      <c r="H42" s="47"/>
      <c r="I42" s="44"/>
      <c r="J42" s="43"/>
      <c r="K42" s="43"/>
      <c r="L42" s="43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34"/>
      <c r="C43" s="35"/>
      <c r="D43" s="47"/>
      <c r="E43" s="47"/>
      <c r="F43" s="39"/>
      <c r="G43" s="44"/>
      <c r="H43" s="47"/>
      <c r="I43" s="44"/>
      <c r="J43" s="43"/>
      <c r="K43" s="43"/>
      <c r="L43" s="43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34"/>
      <c r="C44" s="35"/>
      <c r="D44" s="47"/>
      <c r="E44" s="47"/>
      <c r="F44" s="39"/>
      <c r="G44" s="44"/>
      <c r="H44" s="47"/>
      <c r="I44" s="44"/>
      <c r="J44" s="43"/>
      <c r="K44" s="43"/>
      <c r="L44" s="43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34"/>
      <c r="C45" s="53"/>
      <c r="D45" s="54"/>
      <c r="E45" s="54"/>
      <c r="F45" s="39"/>
      <c r="G45" s="44"/>
      <c r="H45" s="54"/>
      <c r="I45" s="44"/>
      <c r="J45" s="55"/>
      <c r="K45" s="55"/>
      <c r="L45" s="107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34"/>
      <c r="C46" s="35"/>
      <c r="D46" s="47"/>
      <c r="E46" s="47"/>
      <c r="F46" s="39"/>
      <c r="G46" s="44"/>
      <c r="H46" s="47"/>
      <c r="I46" s="44"/>
      <c r="J46" s="43"/>
      <c r="K46" s="43"/>
      <c r="L46" s="43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34"/>
      <c r="C47" s="35"/>
      <c r="D47" s="47"/>
      <c r="E47" s="47"/>
      <c r="F47" s="39"/>
      <c r="G47" s="44"/>
      <c r="H47" s="47"/>
      <c r="I47" s="44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34"/>
      <c r="C48" s="35"/>
      <c r="D48" s="47"/>
      <c r="E48" s="47"/>
      <c r="F48" s="39"/>
      <c r="G48" s="44"/>
      <c r="H48" s="47"/>
      <c r="I48" s="44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34"/>
      <c r="C49" s="35"/>
      <c r="D49" s="47"/>
      <c r="E49" s="47"/>
      <c r="F49" s="39"/>
      <c r="G49" s="44"/>
      <c r="H49" s="47"/>
      <c r="I49" s="44"/>
      <c r="J49" s="43"/>
      <c r="K49" s="43"/>
      <c r="L49" s="43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34"/>
      <c r="C50" s="35"/>
      <c r="D50" s="47"/>
      <c r="E50" s="47"/>
      <c r="F50" s="39"/>
      <c r="G50" s="44"/>
      <c r="H50" s="47"/>
      <c r="I50" s="44"/>
      <c r="J50" s="43"/>
      <c r="K50" s="43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34"/>
      <c r="C51" s="35"/>
      <c r="D51" s="47"/>
      <c r="E51" s="47"/>
      <c r="F51" s="39"/>
      <c r="G51" s="44"/>
      <c r="H51" s="47"/>
      <c r="I51" s="44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34"/>
      <c r="C52" s="35"/>
      <c r="D52" s="47"/>
      <c r="E52" s="47"/>
      <c r="F52" s="39"/>
      <c r="G52" s="44"/>
      <c r="H52" s="47"/>
      <c r="I52" s="44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34"/>
      <c r="C53" s="35"/>
      <c r="D53" s="47"/>
      <c r="E53" s="47"/>
      <c r="F53" s="39"/>
      <c r="G53" s="44"/>
      <c r="H53" s="47"/>
      <c r="I53" s="44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34"/>
      <c r="C54" s="35"/>
      <c r="D54" s="47"/>
      <c r="E54" s="47"/>
      <c r="F54" s="39"/>
      <c r="G54" s="44"/>
      <c r="H54" s="47"/>
      <c r="I54" s="44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34"/>
      <c r="C55" s="35"/>
      <c r="D55" s="47"/>
      <c r="E55" s="47"/>
      <c r="F55" s="39"/>
      <c r="G55" s="44"/>
      <c r="H55" s="47"/>
      <c r="I55" s="44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34"/>
      <c r="C56" s="35"/>
      <c r="D56" s="47"/>
      <c r="E56" s="47"/>
      <c r="F56" s="39"/>
      <c r="G56" s="44"/>
      <c r="H56" s="47"/>
      <c r="I56" s="44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34"/>
      <c r="C57" s="35"/>
      <c r="D57" s="47"/>
      <c r="E57" s="47"/>
      <c r="F57" s="39"/>
      <c r="G57" s="44"/>
      <c r="H57" s="47"/>
      <c r="I57" s="44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34"/>
      <c r="C58" s="35"/>
      <c r="D58" s="47"/>
      <c r="E58" s="47"/>
      <c r="F58" s="39"/>
      <c r="G58" s="44"/>
      <c r="H58" s="47"/>
      <c r="I58" s="44"/>
      <c r="J58" s="43"/>
      <c r="K58" s="43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34"/>
      <c r="C59" s="35"/>
      <c r="D59" s="47"/>
      <c r="E59" s="47"/>
      <c r="F59" s="39"/>
      <c r="G59" s="44"/>
      <c r="H59" s="47"/>
      <c r="I59" s="44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34"/>
      <c r="C60" s="35"/>
      <c r="D60" s="47"/>
      <c r="E60" s="47"/>
      <c r="F60" s="39"/>
      <c r="G60" s="44"/>
      <c r="H60" s="47"/>
      <c r="I60" s="44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34"/>
      <c r="C61" s="35"/>
      <c r="D61" s="47"/>
      <c r="E61" s="47"/>
      <c r="F61" s="39"/>
      <c r="G61" s="44"/>
      <c r="H61" s="47"/>
      <c r="I61" s="44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34"/>
      <c r="C62" s="35"/>
      <c r="D62" s="47"/>
      <c r="E62" s="47"/>
      <c r="F62" s="39"/>
      <c r="G62" s="44"/>
      <c r="H62" s="47"/>
      <c r="I62" s="44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34"/>
      <c r="C63" s="35"/>
      <c r="D63" s="47"/>
      <c r="E63" s="47"/>
      <c r="F63" s="39"/>
      <c r="G63" s="44"/>
      <c r="H63" s="47"/>
      <c r="I63" s="44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34"/>
      <c r="C64" s="35"/>
      <c r="D64" s="47"/>
      <c r="E64" s="47"/>
      <c r="F64" s="39"/>
      <c r="G64" s="44"/>
      <c r="H64" s="47"/>
      <c r="I64" s="44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34"/>
      <c r="C65" s="35"/>
      <c r="D65" s="47"/>
      <c r="E65" s="47"/>
      <c r="F65" s="39"/>
      <c r="G65" s="44"/>
      <c r="H65" s="47"/>
      <c r="I65" s="44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34"/>
      <c r="C66" s="35"/>
      <c r="D66" s="47"/>
      <c r="E66" s="47"/>
      <c r="F66" s="39"/>
      <c r="G66" s="44"/>
      <c r="H66" s="47"/>
      <c r="I66" s="44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34"/>
      <c r="C67" s="35"/>
      <c r="D67" s="47"/>
      <c r="E67" s="47"/>
      <c r="F67" s="39"/>
      <c r="G67" s="44"/>
      <c r="H67" s="47"/>
      <c r="I67" s="44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34"/>
      <c r="C68" s="35"/>
      <c r="D68" s="47"/>
      <c r="E68" s="47"/>
      <c r="F68" s="39"/>
      <c r="G68" s="44"/>
      <c r="H68" s="47"/>
      <c r="I68" s="44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34"/>
      <c r="C69" s="35"/>
      <c r="D69" s="47"/>
      <c r="E69" s="47"/>
      <c r="F69" s="39"/>
      <c r="G69" s="44"/>
      <c r="H69" s="47"/>
      <c r="I69" s="44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34"/>
      <c r="C70" s="35"/>
      <c r="D70" s="47"/>
      <c r="E70" s="47"/>
      <c r="F70" s="39"/>
      <c r="G70" s="44"/>
      <c r="H70" s="47"/>
      <c r="I70" s="44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34"/>
      <c r="C71" s="35"/>
      <c r="D71" s="47"/>
      <c r="E71" s="47"/>
      <c r="F71" s="39"/>
      <c r="G71" s="44"/>
      <c r="H71" s="47"/>
      <c r="I71" s="44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34"/>
      <c r="C72" s="35"/>
      <c r="D72" s="47"/>
      <c r="E72" s="47"/>
      <c r="F72" s="39"/>
      <c r="G72" s="44"/>
      <c r="H72" s="47"/>
      <c r="I72" s="44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34"/>
      <c r="C73" s="35"/>
      <c r="D73" s="47"/>
      <c r="E73" s="47"/>
      <c r="F73" s="39"/>
      <c r="G73" s="44"/>
      <c r="H73" s="47"/>
      <c r="I73" s="44"/>
      <c r="J73" s="43"/>
      <c r="K73" s="43"/>
      <c r="L73" s="43"/>
      <c r="M73" s="4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34"/>
      <c r="C74" s="35"/>
      <c r="D74" s="47"/>
      <c r="E74" s="47"/>
      <c r="F74" s="39"/>
      <c r="G74" s="44"/>
      <c r="H74" s="47"/>
      <c r="I74" s="44"/>
      <c r="J74" s="43"/>
      <c r="K74" s="43"/>
      <c r="L74" s="43"/>
      <c r="M74" s="4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34"/>
      <c r="C75" s="35"/>
      <c r="D75" s="47"/>
      <c r="E75" s="47"/>
      <c r="F75" s="39"/>
      <c r="G75" s="44"/>
      <c r="H75" s="47"/>
      <c r="I75" s="44"/>
      <c r="J75" s="43"/>
      <c r="K75" s="43"/>
      <c r="L75" s="43"/>
      <c r="M75" s="43">
        <f t="shared" ref="M75:M76" si="1">(K75-J75)*E75</f>
        <v>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34"/>
      <c r="C76" s="35"/>
      <c r="D76" s="47"/>
      <c r="E76" s="47"/>
      <c r="F76" s="39"/>
      <c r="G76" s="44"/>
      <c r="H76" s="47"/>
      <c r="I76" s="44"/>
      <c r="J76" s="43"/>
      <c r="K76" s="43"/>
      <c r="L76" s="43"/>
      <c r="M76" s="43">
        <f t="shared" si="1"/>
        <v>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6" t="s">
        <v>38</v>
      </c>
      <c r="D78" s="57"/>
      <c r="E78" s="57"/>
      <c r="F78" s="57"/>
      <c r="G78" s="5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9"/>
      <c r="G79" s="60"/>
      <c r="H79" s="43">
        <v>0.0</v>
      </c>
      <c r="I79" s="61" t="s">
        <v>39</v>
      </c>
      <c r="J79" s="62"/>
      <c r="K79" s="62"/>
      <c r="L79" s="62"/>
      <c r="M79" s="6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64"/>
      <c r="D80" s="65"/>
      <c r="E80" s="65"/>
      <c r="F80" s="65"/>
      <c r="G80" s="6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5"/>
      <c r="C81" s="67" t="s">
        <v>40</v>
      </c>
      <c r="D81" s="62"/>
      <c r="E81" s="62"/>
      <c r="F81" s="62"/>
      <c r="G81" s="14"/>
      <c r="H81" s="68" t="str">
        <f>SUM(#REF!)</f>
        <v>#REF!</v>
      </c>
      <c r="I81" s="69" t="s">
        <v>41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5"/>
      <c r="B83" s="5"/>
      <c r="C83" s="67" t="s">
        <v>42</v>
      </c>
      <c r="D83" s="62"/>
      <c r="E83" s="62"/>
      <c r="F83" s="62"/>
      <c r="G83" s="63"/>
      <c r="H83" s="68" t="str">
        <f>H79+H81</f>
        <v>#REF!</v>
      </c>
      <c r="I83" s="69" t="s">
        <v>41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75" customHeight="1">
      <c r="A85" s="5"/>
      <c r="B85" s="5"/>
      <c r="C85" s="67" t="s">
        <v>43</v>
      </c>
      <c r="D85" s="62"/>
      <c r="E85" s="62"/>
      <c r="F85" s="62"/>
      <c r="G85" s="63"/>
      <c r="H85" s="68" t="str">
        <f>IF(H83&lt;=20000,H81,IF(H79&gt;20000,0,20000-H79))</f>
        <v>#REF!</v>
      </c>
      <c r="I85" s="69" t="s">
        <v>41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5"/>
      <c r="C87" s="67" t="s">
        <v>44</v>
      </c>
      <c r="D87" s="62"/>
      <c r="E87" s="62"/>
      <c r="F87" s="62"/>
      <c r="G87" s="14"/>
      <c r="H87" s="68" t="str">
        <f>IF(H83&gt;20000,H83-H79-H85,0)</f>
        <v>#REF!</v>
      </c>
      <c r="I87" s="69" t="s">
        <v>41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7.25" customHeight="1">
      <c r="A89" s="5"/>
      <c r="B89" s="5"/>
      <c r="C89" s="70" t="s">
        <v>45</v>
      </c>
      <c r="D89" s="71">
        <v>3.79</v>
      </c>
      <c r="E89" s="72" t="s">
        <v>46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32"/>
      <c r="D90" s="71">
        <v>2.23</v>
      </c>
      <c r="E90" s="72" t="s">
        <v>47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30.0" customHeight="1">
      <c r="A92" s="5"/>
      <c r="B92" s="5"/>
      <c r="C92" s="73" t="s">
        <v>48</v>
      </c>
      <c r="D92" s="62"/>
      <c r="E92" s="62"/>
      <c r="F92" s="14"/>
      <c r="G92" s="74" t="str">
        <f>(H85*D89)+(H87*D90)</f>
        <v>#REF!</v>
      </c>
      <c r="H92" s="12"/>
      <c r="I92" s="69" t="s">
        <v>41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75" t="s">
        <v>49</v>
      </c>
      <c r="D94" s="76"/>
      <c r="E94" s="77"/>
      <c r="F94" s="78"/>
      <c r="G94" s="76"/>
      <c r="H94" s="76"/>
      <c r="I94" s="7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79"/>
      <c r="D95" s="65"/>
      <c r="E95" s="80"/>
      <c r="F95" s="79"/>
      <c r="G95" s="65"/>
      <c r="H95" s="65"/>
      <c r="I95" s="80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3.25" customHeight="1">
      <c r="A96" s="5"/>
      <c r="B96" s="5"/>
      <c r="C96" s="81" t="s">
        <v>50</v>
      </c>
      <c r="D96" s="15"/>
      <c r="E96" s="12"/>
      <c r="F96" s="82"/>
      <c r="G96" s="15"/>
      <c r="H96" s="15"/>
      <c r="I96" s="12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0">
    <mergeCell ref="A5:D5"/>
    <mergeCell ref="B7:M7"/>
    <mergeCell ref="C9:D9"/>
    <mergeCell ref="H9:I9"/>
    <mergeCell ref="J9:M9"/>
    <mergeCell ref="C10:D10"/>
    <mergeCell ref="H10:I10"/>
    <mergeCell ref="J10:M10"/>
    <mergeCell ref="B14:M14"/>
    <mergeCell ref="B16:B17"/>
    <mergeCell ref="C16:C17"/>
    <mergeCell ref="D16:E16"/>
    <mergeCell ref="H16:I16"/>
    <mergeCell ref="J16:K16"/>
    <mergeCell ref="F16:G16"/>
    <mergeCell ref="C78:G80"/>
    <mergeCell ref="I79:M79"/>
    <mergeCell ref="C81:G81"/>
    <mergeCell ref="C83:G83"/>
    <mergeCell ref="C85:G85"/>
    <mergeCell ref="C87:G87"/>
    <mergeCell ref="C96:E96"/>
    <mergeCell ref="F96:I96"/>
    <mergeCell ref="C89:C90"/>
    <mergeCell ref="E89:I89"/>
    <mergeCell ref="E90:I90"/>
    <mergeCell ref="C92:F92"/>
    <mergeCell ref="G92:H92"/>
    <mergeCell ref="C94:E95"/>
    <mergeCell ref="F94:I95"/>
  </mergeCells>
  <dataValidations>
    <dataValidation type="decimal" allowBlank="1" showInputMessage="1" showErrorMessage="1" prompt="Ugyldigt tal - Tallet på kilometertælleren skal være mellem 0 and 999.999,9" sqref="J18:K26 J28:K28">
      <formula1>0.0</formula1>
      <formula2>999999.9</formula2>
    </dataValidation>
  </dataValidations>
  <hyperlinks>
    <hyperlink r:id="rId1" ref="A13"/>
  </hyperlinks>
  <printOptions/>
  <pageMargins bottom="0.75" footer="0.0" header="0.0" left="0.7" right="0.7" top="0.75"/>
  <pageSetup orientation="landscape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0.13"/>
    <col customWidth="1" min="3" max="3" width="62.25"/>
    <col customWidth="1" min="4" max="4" width="12.25"/>
    <col customWidth="1" min="5" max="5" width="12.38"/>
    <col customWidth="1" min="6" max="6" width="20.88"/>
    <col customWidth="1" min="7" max="7" width="11.25"/>
    <col customWidth="1" min="8" max="8" width="19.38"/>
    <col customWidth="1" min="9" max="9" width="11.63"/>
    <col customWidth="1" min="10" max="10" width="13.38"/>
    <col customWidth="1" min="11" max="11" width="14.13"/>
    <col customWidth="1" min="12" max="13" width="14.5"/>
    <col customWidth="1" min="14" max="14" width="19.5"/>
    <col customWidth="1" min="15" max="26" width="8.75"/>
  </cols>
  <sheetData>
    <row r="1" ht="12.75" customHeight="1">
      <c r="A1" s="5"/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9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8"/>
      <c r="B9" s="10" t="s">
        <v>4</v>
      </c>
      <c r="C9" s="88">
        <v>45778.0</v>
      </c>
      <c r="D9" s="12"/>
      <c r="E9" s="9"/>
      <c r="F9" s="9"/>
      <c r="G9" s="9"/>
      <c r="H9" s="13" t="s">
        <v>6</v>
      </c>
      <c r="I9" s="14"/>
      <c r="J9" s="11" t="s">
        <v>7</v>
      </c>
      <c r="K9" s="15"/>
      <c r="L9" s="15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8"/>
      <c r="B10" s="16" t="s">
        <v>8</v>
      </c>
      <c r="C10" s="101" t="s">
        <v>63</v>
      </c>
      <c r="D10" s="12"/>
      <c r="E10" s="9"/>
      <c r="F10" s="9"/>
      <c r="G10" s="9"/>
      <c r="H10" s="13" t="s">
        <v>10</v>
      </c>
      <c r="I10" s="14"/>
      <c r="J10" s="17" t="s">
        <v>11</v>
      </c>
      <c r="K10" s="18"/>
      <c r="L10" s="18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20" t="s">
        <v>12</v>
      </c>
      <c r="K11" s="21">
        <f>SUM(L18:L31)</f>
        <v>520</v>
      </c>
      <c r="L11" s="9"/>
      <c r="M11" s="9"/>
      <c r="N11" s="100" t="s">
        <v>85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8"/>
      <c r="B12" s="9"/>
      <c r="C12" s="9"/>
      <c r="D12" s="9"/>
      <c r="E12" s="9"/>
      <c r="F12" s="9"/>
      <c r="G12" s="9"/>
      <c r="H12" s="9"/>
      <c r="I12" s="9"/>
      <c r="J12" s="20" t="s">
        <v>13</v>
      </c>
      <c r="K12" s="89">
        <v>3.81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90" t="s">
        <v>53</v>
      </c>
      <c r="B13" s="8"/>
      <c r="C13" s="8"/>
      <c r="D13" s="8"/>
      <c r="E13" s="5"/>
      <c r="F13" s="5"/>
      <c r="G13" s="5"/>
      <c r="H13" s="5"/>
      <c r="I13" s="5"/>
      <c r="J13" s="20" t="s">
        <v>15</v>
      </c>
      <c r="K13" s="22">
        <f>SUM(K11*K12)</f>
        <v>1981.2</v>
      </c>
      <c r="L13" s="10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24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27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5.25" customHeight="1">
      <c r="A16" s="5"/>
      <c r="B16" s="29" t="s">
        <v>17</v>
      </c>
      <c r="C16" s="30" t="s">
        <v>18</v>
      </c>
      <c r="D16" s="31" t="s">
        <v>19</v>
      </c>
      <c r="E16" s="26"/>
      <c r="F16" s="31" t="s">
        <v>20</v>
      </c>
      <c r="G16" s="26"/>
      <c r="H16" s="31" t="s">
        <v>21</v>
      </c>
      <c r="I16" s="26"/>
      <c r="J16" s="31" t="s">
        <v>22</v>
      </c>
      <c r="K16" s="26"/>
      <c r="L16" s="104"/>
      <c r="M16" s="10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32"/>
      <c r="C17" s="32"/>
      <c r="D17" s="33" t="s">
        <v>24</v>
      </c>
      <c r="E17" s="33" t="s">
        <v>25</v>
      </c>
      <c r="F17" s="33" t="s">
        <v>26</v>
      </c>
      <c r="G17" s="33" t="s">
        <v>27</v>
      </c>
      <c r="H17" s="33" t="s">
        <v>26</v>
      </c>
      <c r="I17" s="33" t="s">
        <v>27</v>
      </c>
      <c r="J17" s="33" t="s">
        <v>28</v>
      </c>
      <c r="K17" s="33" t="s">
        <v>29</v>
      </c>
      <c r="L17" s="105" t="s">
        <v>24</v>
      </c>
      <c r="M17" s="33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5"/>
      <c r="B18" s="102">
        <v>45870.0</v>
      </c>
      <c r="C18" s="125" t="s">
        <v>126</v>
      </c>
      <c r="D18" s="126">
        <v>1.0</v>
      </c>
      <c r="E18" s="127"/>
      <c r="F18" s="1" t="s">
        <v>31</v>
      </c>
      <c r="G18" s="40">
        <v>2791.0</v>
      </c>
      <c r="H18" s="1" t="s">
        <v>127</v>
      </c>
      <c r="I18" s="108">
        <v>5250.0</v>
      </c>
      <c r="J18" s="128">
        <v>172.0</v>
      </c>
      <c r="K18" s="129">
        <v>172.0</v>
      </c>
      <c r="L18" s="106">
        <f t="shared" ref="L18:L25" si="1">J18+K18</f>
        <v>344</v>
      </c>
      <c r="M18" s="130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5"/>
      <c r="C19" s="93"/>
      <c r="D19" s="94"/>
      <c r="E19" s="47"/>
      <c r="G19" s="44"/>
      <c r="H19" s="95"/>
      <c r="I19" s="108"/>
      <c r="J19" s="96"/>
      <c r="K19" s="97"/>
      <c r="L19" s="106">
        <f t="shared" si="1"/>
        <v>0</v>
      </c>
      <c r="M19" s="4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102"/>
      <c r="C20" s="93"/>
      <c r="D20" s="94"/>
      <c r="E20" s="47"/>
      <c r="G20" s="44"/>
      <c r="H20" s="95"/>
      <c r="I20" s="108"/>
      <c r="J20" s="96"/>
      <c r="K20" s="97"/>
      <c r="L20" s="106">
        <f t="shared" si="1"/>
        <v>0</v>
      </c>
      <c r="M20" s="4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102">
        <v>45880.0</v>
      </c>
      <c r="C21" s="93" t="s">
        <v>128</v>
      </c>
      <c r="D21" s="94">
        <v>1.0</v>
      </c>
      <c r="E21" s="47"/>
      <c r="F21" s="1" t="s">
        <v>31</v>
      </c>
      <c r="G21" s="40">
        <v>2791.0</v>
      </c>
      <c r="H21" s="95" t="s">
        <v>129</v>
      </c>
      <c r="I21" s="108">
        <v>1200.0</v>
      </c>
      <c r="J21" s="96">
        <v>17.0</v>
      </c>
      <c r="K21" s="97">
        <f>J21</f>
        <v>17</v>
      </c>
      <c r="L21" s="106">
        <f t="shared" si="1"/>
        <v>34</v>
      </c>
      <c r="M21" s="4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102">
        <v>45881.0</v>
      </c>
      <c r="C22" s="93" t="s">
        <v>130</v>
      </c>
      <c r="D22" s="94">
        <v>1.0</v>
      </c>
      <c r="E22" s="47"/>
      <c r="F22" s="1" t="s">
        <v>31</v>
      </c>
      <c r="G22" s="40">
        <v>2791.0</v>
      </c>
      <c r="H22" s="95" t="s">
        <v>119</v>
      </c>
      <c r="I22" s="108">
        <v>2200.0</v>
      </c>
      <c r="J22" s="96">
        <v>20.0</v>
      </c>
      <c r="K22" s="97">
        <v>20.0</v>
      </c>
      <c r="L22" s="106">
        <f t="shared" si="1"/>
        <v>40</v>
      </c>
      <c r="M22" s="4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102">
        <v>45882.0</v>
      </c>
      <c r="C23" s="93" t="s">
        <v>128</v>
      </c>
      <c r="D23" s="94">
        <v>1.0</v>
      </c>
      <c r="E23" s="47"/>
      <c r="F23" s="1" t="s">
        <v>31</v>
      </c>
      <c r="G23" s="40">
        <v>2791.0</v>
      </c>
      <c r="H23" s="95" t="s">
        <v>129</v>
      </c>
      <c r="I23" s="108">
        <v>1200.0</v>
      </c>
      <c r="J23" s="96">
        <v>17.0</v>
      </c>
      <c r="K23" s="97">
        <f t="shared" ref="K23:K25" si="2">J23</f>
        <v>17</v>
      </c>
      <c r="L23" s="106">
        <f t="shared" si="1"/>
        <v>34</v>
      </c>
      <c r="M23" s="4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102">
        <v>45883.0</v>
      </c>
      <c r="C24" s="93" t="s">
        <v>128</v>
      </c>
      <c r="D24" s="94">
        <v>1.0</v>
      </c>
      <c r="E24" s="47"/>
      <c r="F24" s="1" t="s">
        <v>31</v>
      </c>
      <c r="G24" s="40">
        <v>2791.0</v>
      </c>
      <c r="H24" s="95" t="s">
        <v>129</v>
      </c>
      <c r="I24" s="108">
        <v>1200.0</v>
      </c>
      <c r="J24" s="96">
        <v>17.0</v>
      </c>
      <c r="K24" s="97">
        <f t="shared" si="2"/>
        <v>17</v>
      </c>
      <c r="L24" s="106">
        <f t="shared" si="1"/>
        <v>34</v>
      </c>
      <c r="M24" s="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102">
        <v>45884.0</v>
      </c>
      <c r="C25" s="93" t="s">
        <v>128</v>
      </c>
      <c r="D25" s="94">
        <v>1.0</v>
      </c>
      <c r="E25" s="47"/>
      <c r="F25" s="1" t="s">
        <v>31</v>
      </c>
      <c r="G25" s="40">
        <v>2791.0</v>
      </c>
      <c r="H25" s="95" t="s">
        <v>129</v>
      </c>
      <c r="I25" s="108">
        <v>1200.0</v>
      </c>
      <c r="J25" s="96">
        <v>17.0</v>
      </c>
      <c r="K25" s="97">
        <f t="shared" si="2"/>
        <v>17</v>
      </c>
      <c r="L25" s="106">
        <f t="shared" si="1"/>
        <v>34</v>
      </c>
      <c r="M25" s="4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102"/>
      <c r="C26" s="93"/>
      <c r="D26" s="94"/>
      <c r="E26" s="47"/>
      <c r="G26" s="44"/>
      <c r="H26" s="95"/>
      <c r="I26" s="108"/>
      <c r="J26" s="96"/>
      <c r="K26" s="96"/>
      <c r="L26" s="106"/>
      <c r="M26" s="4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34"/>
      <c r="C28" s="35"/>
      <c r="D28" s="36"/>
      <c r="E28" s="47"/>
      <c r="G28" s="44"/>
      <c r="H28" s="39"/>
      <c r="I28" s="44"/>
      <c r="J28" s="41"/>
      <c r="K28" s="42"/>
      <c r="L28" s="106"/>
      <c r="M28" s="4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34"/>
      <c r="C29" s="35"/>
      <c r="D29" s="47"/>
      <c r="E29" s="47"/>
      <c r="F29" s="39"/>
      <c r="G29" s="44"/>
      <c r="H29" s="47"/>
      <c r="I29" s="44"/>
      <c r="J29" s="43"/>
      <c r="K29" s="43"/>
      <c r="L29" s="43"/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34"/>
      <c r="C30" s="35"/>
      <c r="D30" s="47"/>
      <c r="E30" s="47"/>
      <c r="F30" s="39"/>
      <c r="G30" s="44"/>
      <c r="H30" s="47"/>
      <c r="I30" s="44"/>
      <c r="J30" s="43"/>
      <c r="K30" s="43"/>
      <c r="L30" s="43"/>
      <c r="M30" s="4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34"/>
      <c r="C31" s="35"/>
      <c r="D31" s="47"/>
      <c r="E31" s="47"/>
      <c r="F31" s="39"/>
      <c r="G31" s="44"/>
      <c r="H31" s="47"/>
      <c r="I31" s="44"/>
      <c r="J31" s="43"/>
      <c r="K31" s="43"/>
      <c r="L31" s="43"/>
      <c r="M31" s="4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34"/>
      <c r="C32" s="35"/>
      <c r="D32" s="47"/>
      <c r="E32" s="47"/>
      <c r="F32" s="39"/>
      <c r="G32" s="44"/>
      <c r="H32" s="47"/>
      <c r="I32" s="44"/>
      <c r="J32" s="43"/>
      <c r="K32" s="43"/>
      <c r="L32" s="43"/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34"/>
      <c r="C33" s="35"/>
      <c r="D33" s="47"/>
      <c r="E33" s="47"/>
      <c r="F33" s="39"/>
      <c r="G33" s="44"/>
      <c r="H33" s="47"/>
      <c r="I33" s="44"/>
      <c r="J33" s="43"/>
      <c r="K33" s="43"/>
      <c r="L33" s="43"/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34"/>
      <c r="C34" s="35"/>
      <c r="D34" s="47"/>
      <c r="E34" s="47"/>
      <c r="F34" s="39"/>
      <c r="G34" s="44"/>
      <c r="H34" s="47"/>
      <c r="I34" s="44"/>
      <c r="J34" s="43"/>
      <c r="K34" s="43"/>
      <c r="L34" s="43"/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34"/>
      <c r="C35" s="35"/>
      <c r="D35" s="47"/>
      <c r="E35" s="47"/>
      <c r="F35" s="39"/>
      <c r="G35" s="44"/>
      <c r="H35" s="47"/>
      <c r="I35" s="44"/>
      <c r="J35" s="43"/>
      <c r="K35" s="43"/>
      <c r="L35" s="43"/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34"/>
      <c r="C36" s="35"/>
      <c r="D36" s="47"/>
      <c r="E36" s="47"/>
      <c r="F36" s="39"/>
      <c r="G36" s="44"/>
      <c r="H36" s="47"/>
      <c r="I36" s="44"/>
      <c r="J36" s="43"/>
      <c r="K36" s="43"/>
      <c r="L36" s="43"/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34"/>
      <c r="C37" s="35"/>
      <c r="D37" s="47"/>
      <c r="E37" s="47"/>
      <c r="F37" s="39"/>
      <c r="G37" s="44"/>
      <c r="H37" s="47"/>
      <c r="I37" s="44"/>
      <c r="J37" s="43"/>
      <c r="K37" s="43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34"/>
      <c r="C38" s="35"/>
      <c r="D38" s="47"/>
      <c r="E38" s="47"/>
      <c r="F38" s="39"/>
      <c r="G38" s="44"/>
      <c r="H38" s="47"/>
      <c r="I38" s="44"/>
      <c r="J38" s="43"/>
      <c r="K38" s="43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34"/>
      <c r="C39" s="35"/>
      <c r="D39" s="47"/>
      <c r="E39" s="47"/>
      <c r="F39" s="39"/>
      <c r="G39" s="44"/>
      <c r="H39" s="47"/>
      <c r="I39" s="44"/>
      <c r="J39" s="43"/>
      <c r="K39" s="43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34"/>
      <c r="C40" s="35"/>
      <c r="D40" s="47"/>
      <c r="E40" s="47"/>
      <c r="F40" s="39"/>
      <c r="G40" s="44"/>
      <c r="H40" s="47"/>
      <c r="I40" s="44"/>
      <c r="J40" s="43"/>
      <c r="K40" s="43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34"/>
      <c r="C41" s="35"/>
      <c r="D41" s="47"/>
      <c r="E41" s="47"/>
      <c r="F41" s="39"/>
      <c r="G41" s="44"/>
      <c r="H41" s="47"/>
      <c r="I41" s="44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34"/>
      <c r="C42" s="35"/>
      <c r="D42" s="47"/>
      <c r="E42" s="47"/>
      <c r="F42" s="39"/>
      <c r="G42" s="44"/>
      <c r="H42" s="47"/>
      <c r="I42" s="44"/>
      <c r="J42" s="43"/>
      <c r="K42" s="43"/>
      <c r="L42" s="43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34"/>
      <c r="C43" s="35"/>
      <c r="D43" s="47"/>
      <c r="E43" s="47"/>
      <c r="F43" s="39"/>
      <c r="G43" s="44"/>
      <c r="H43" s="47"/>
      <c r="I43" s="44"/>
      <c r="J43" s="43"/>
      <c r="K43" s="43"/>
      <c r="L43" s="43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34"/>
      <c r="C44" s="35"/>
      <c r="D44" s="47"/>
      <c r="E44" s="47"/>
      <c r="F44" s="39"/>
      <c r="G44" s="44"/>
      <c r="H44" s="47"/>
      <c r="I44" s="44"/>
      <c r="J44" s="43"/>
      <c r="K44" s="43"/>
      <c r="L44" s="43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34"/>
      <c r="C45" s="53"/>
      <c r="D45" s="54"/>
      <c r="E45" s="54"/>
      <c r="F45" s="39"/>
      <c r="G45" s="44"/>
      <c r="H45" s="54"/>
      <c r="I45" s="44"/>
      <c r="J45" s="55"/>
      <c r="K45" s="55"/>
      <c r="L45" s="107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34"/>
      <c r="C46" s="35"/>
      <c r="D46" s="47"/>
      <c r="E46" s="47"/>
      <c r="F46" s="39"/>
      <c r="G46" s="44"/>
      <c r="H46" s="47"/>
      <c r="I46" s="44"/>
      <c r="J46" s="43"/>
      <c r="K46" s="43"/>
      <c r="L46" s="43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34"/>
      <c r="C47" s="35"/>
      <c r="D47" s="47"/>
      <c r="E47" s="47"/>
      <c r="F47" s="39"/>
      <c r="G47" s="44"/>
      <c r="H47" s="47"/>
      <c r="I47" s="44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34"/>
      <c r="C48" s="35"/>
      <c r="D48" s="47"/>
      <c r="E48" s="47"/>
      <c r="F48" s="39"/>
      <c r="G48" s="44"/>
      <c r="H48" s="47"/>
      <c r="I48" s="44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34"/>
      <c r="C49" s="35"/>
      <c r="D49" s="47"/>
      <c r="E49" s="47"/>
      <c r="F49" s="39"/>
      <c r="G49" s="44"/>
      <c r="H49" s="47"/>
      <c r="I49" s="44"/>
      <c r="J49" s="43"/>
      <c r="K49" s="43"/>
      <c r="L49" s="43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34"/>
      <c r="C50" s="35"/>
      <c r="D50" s="47"/>
      <c r="E50" s="47"/>
      <c r="F50" s="39"/>
      <c r="G50" s="44"/>
      <c r="H50" s="47"/>
      <c r="I50" s="44"/>
      <c r="J50" s="43"/>
      <c r="K50" s="43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34"/>
      <c r="C51" s="35"/>
      <c r="D51" s="47"/>
      <c r="E51" s="47"/>
      <c r="F51" s="39"/>
      <c r="G51" s="44"/>
      <c r="H51" s="47"/>
      <c r="I51" s="44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34"/>
      <c r="C52" s="35"/>
      <c r="D52" s="47"/>
      <c r="E52" s="47"/>
      <c r="F52" s="39"/>
      <c r="G52" s="44"/>
      <c r="H52" s="47"/>
      <c r="I52" s="44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34"/>
      <c r="C53" s="35"/>
      <c r="D53" s="47"/>
      <c r="E53" s="47"/>
      <c r="F53" s="39"/>
      <c r="G53" s="44"/>
      <c r="H53" s="47"/>
      <c r="I53" s="44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34"/>
      <c r="C54" s="35"/>
      <c r="D54" s="47"/>
      <c r="E54" s="47"/>
      <c r="F54" s="39"/>
      <c r="G54" s="44"/>
      <c r="H54" s="47"/>
      <c r="I54" s="44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34"/>
      <c r="C55" s="35"/>
      <c r="D55" s="47"/>
      <c r="E55" s="47"/>
      <c r="F55" s="39"/>
      <c r="G55" s="44"/>
      <c r="H55" s="47"/>
      <c r="I55" s="44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34"/>
      <c r="C56" s="35"/>
      <c r="D56" s="47"/>
      <c r="E56" s="47"/>
      <c r="F56" s="39"/>
      <c r="G56" s="44"/>
      <c r="H56" s="47"/>
      <c r="I56" s="44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34"/>
      <c r="C57" s="35"/>
      <c r="D57" s="47"/>
      <c r="E57" s="47"/>
      <c r="F57" s="39"/>
      <c r="G57" s="44"/>
      <c r="H57" s="47"/>
      <c r="I57" s="44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34"/>
      <c r="C58" s="35"/>
      <c r="D58" s="47"/>
      <c r="E58" s="47"/>
      <c r="F58" s="39"/>
      <c r="G58" s="44"/>
      <c r="H58" s="47"/>
      <c r="I58" s="44"/>
      <c r="J58" s="43"/>
      <c r="K58" s="43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34"/>
      <c r="C59" s="35"/>
      <c r="D59" s="47"/>
      <c r="E59" s="47"/>
      <c r="F59" s="39"/>
      <c r="G59" s="44"/>
      <c r="H59" s="47"/>
      <c r="I59" s="44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34"/>
      <c r="C60" s="35"/>
      <c r="D60" s="47"/>
      <c r="E60" s="47"/>
      <c r="F60" s="39"/>
      <c r="G60" s="44"/>
      <c r="H60" s="47"/>
      <c r="I60" s="44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34"/>
      <c r="C61" s="35"/>
      <c r="D61" s="47"/>
      <c r="E61" s="47"/>
      <c r="F61" s="39"/>
      <c r="G61" s="44"/>
      <c r="H61" s="47"/>
      <c r="I61" s="44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34"/>
      <c r="C62" s="35"/>
      <c r="D62" s="47"/>
      <c r="E62" s="47"/>
      <c r="F62" s="39"/>
      <c r="G62" s="44"/>
      <c r="H62" s="47"/>
      <c r="I62" s="44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34"/>
      <c r="C63" s="35"/>
      <c r="D63" s="47"/>
      <c r="E63" s="47"/>
      <c r="F63" s="39"/>
      <c r="G63" s="44"/>
      <c r="H63" s="47"/>
      <c r="I63" s="44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34"/>
      <c r="C64" s="35"/>
      <c r="D64" s="47"/>
      <c r="E64" s="47"/>
      <c r="F64" s="39"/>
      <c r="G64" s="44"/>
      <c r="H64" s="47"/>
      <c r="I64" s="44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34"/>
      <c r="C65" s="35"/>
      <c r="D65" s="47"/>
      <c r="E65" s="47"/>
      <c r="F65" s="39"/>
      <c r="G65" s="44"/>
      <c r="H65" s="47"/>
      <c r="I65" s="44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34"/>
      <c r="C66" s="35"/>
      <c r="D66" s="47"/>
      <c r="E66" s="47"/>
      <c r="F66" s="39"/>
      <c r="G66" s="44"/>
      <c r="H66" s="47"/>
      <c r="I66" s="44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34"/>
      <c r="C67" s="35"/>
      <c r="D67" s="47"/>
      <c r="E67" s="47"/>
      <c r="F67" s="39"/>
      <c r="G67" s="44"/>
      <c r="H67" s="47"/>
      <c r="I67" s="44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34"/>
      <c r="C68" s="35"/>
      <c r="D68" s="47"/>
      <c r="E68" s="47"/>
      <c r="F68" s="39"/>
      <c r="G68" s="44"/>
      <c r="H68" s="47"/>
      <c r="I68" s="44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34"/>
      <c r="C69" s="35"/>
      <c r="D69" s="47"/>
      <c r="E69" s="47"/>
      <c r="F69" s="39"/>
      <c r="G69" s="44"/>
      <c r="H69" s="47"/>
      <c r="I69" s="44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34"/>
      <c r="C70" s="35"/>
      <c r="D70" s="47"/>
      <c r="E70" s="47"/>
      <c r="F70" s="39"/>
      <c r="G70" s="44"/>
      <c r="H70" s="47"/>
      <c r="I70" s="44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34"/>
      <c r="C71" s="35"/>
      <c r="D71" s="47"/>
      <c r="E71" s="47"/>
      <c r="F71" s="39"/>
      <c r="G71" s="44"/>
      <c r="H71" s="47"/>
      <c r="I71" s="44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34"/>
      <c r="C72" s="35"/>
      <c r="D72" s="47"/>
      <c r="E72" s="47"/>
      <c r="F72" s="39"/>
      <c r="G72" s="44"/>
      <c r="H72" s="47"/>
      <c r="I72" s="44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34"/>
      <c r="C73" s="35"/>
      <c r="D73" s="47"/>
      <c r="E73" s="47"/>
      <c r="F73" s="39"/>
      <c r="G73" s="44"/>
      <c r="H73" s="47"/>
      <c r="I73" s="44"/>
      <c r="J73" s="43"/>
      <c r="K73" s="43"/>
      <c r="L73" s="43"/>
      <c r="M73" s="4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34"/>
      <c r="C74" s="35"/>
      <c r="D74" s="47"/>
      <c r="E74" s="47"/>
      <c r="F74" s="39"/>
      <c r="G74" s="44"/>
      <c r="H74" s="47"/>
      <c r="I74" s="44"/>
      <c r="J74" s="43"/>
      <c r="K74" s="43"/>
      <c r="L74" s="43"/>
      <c r="M74" s="4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34"/>
      <c r="C75" s="35"/>
      <c r="D75" s="47"/>
      <c r="E75" s="47"/>
      <c r="F75" s="39"/>
      <c r="G75" s="44"/>
      <c r="H75" s="47"/>
      <c r="I75" s="44"/>
      <c r="J75" s="43"/>
      <c r="K75" s="43"/>
      <c r="L75" s="43"/>
      <c r="M75" s="43">
        <f t="shared" ref="M75:M76" si="3">(K75-J75)*E75</f>
        <v>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34"/>
      <c r="C76" s="35"/>
      <c r="D76" s="47"/>
      <c r="E76" s="47"/>
      <c r="F76" s="39"/>
      <c r="G76" s="44"/>
      <c r="H76" s="47"/>
      <c r="I76" s="44"/>
      <c r="J76" s="43"/>
      <c r="K76" s="43"/>
      <c r="L76" s="43"/>
      <c r="M76" s="43">
        <f t="shared" si="3"/>
        <v>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6" t="s">
        <v>38</v>
      </c>
      <c r="D78" s="57"/>
      <c r="E78" s="57"/>
      <c r="F78" s="57"/>
      <c r="G78" s="5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9"/>
      <c r="G79" s="60"/>
      <c r="H79" s="43">
        <v>0.0</v>
      </c>
      <c r="I79" s="61" t="s">
        <v>39</v>
      </c>
      <c r="J79" s="62"/>
      <c r="K79" s="62"/>
      <c r="L79" s="62"/>
      <c r="M79" s="6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64"/>
      <c r="D80" s="65"/>
      <c r="E80" s="65"/>
      <c r="F80" s="65"/>
      <c r="G80" s="6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5"/>
      <c r="C81" s="67" t="s">
        <v>40</v>
      </c>
      <c r="D81" s="62"/>
      <c r="E81" s="62"/>
      <c r="F81" s="62"/>
      <c r="G81" s="14"/>
      <c r="H81" s="68" t="str">
        <f>SUM(#REF!)</f>
        <v>#REF!</v>
      </c>
      <c r="I81" s="69" t="s">
        <v>41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5"/>
      <c r="B83" s="5"/>
      <c r="C83" s="67" t="s">
        <v>42</v>
      </c>
      <c r="D83" s="62"/>
      <c r="E83" s="62"/>
      <c r="F83" s="62"/>
      <c r="G83" s="63"/>
      <c r="H83" s="68" t="str">
        <f>H79+H81</f>
        <v>#REF!</v>
      </c>
      <c r="I83" s="69" t="s">
        <v>41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75" customHeight="1">
      <c r="A85" s="5"/>
      <c r="B85" s="5"/>
      <c r="C85" s="67" t="s">
        <v>43</v>
      </c>
      <c r="D85" s="62"/>
      <c r="E85" s="62"/>
      <c r="F85" s="62"/>
      <c r="G85" s="63"/>
      <c r="H85" s="68" t="str">
        <f>IF(H83&lt;=20000,H81,IF(H79&gt;20000,0,20000-H79))</f>
        <v>#REF!</v>
      </c>
      <c r="I85" s="69" t="s">
        <v>41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5"/>
      <c r="C87" s="67" t="s">
        <v>44</v>
      </c>
      <c r="D87" s="62"/>
      <c r="E87" s="62"/>
      <c r="F87" s="62"/>
      <c r="G87" s="14"/>
      <c r="H87" s="68" t="str">
        <f>IF(H83&gt;20000,H83-H79-H85,0)</f>
        <v>#REF!</v>
      </c>
      <c r="I87" s="69" t="s">
        <v>41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7.25" customHeight="1">
      <c r="A89" s="5"/>
      <c r="B89" s="5"/>
      <c r="C89" s="70" t="s">
        <v>45</v>
      </c>
      <c r="D89" s="71">
        <v>3.79</v>
      </c>
      <c r="E89" s="72" t="s">
        <v>46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32"/>
      <c r="D90" s="71">
        <v>2.23</v>
      </c>
      <c r="E90" s="72" t="s">
        <v>47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30.0" customHeight="1">
      <c r="A92" s="5"/>
      <c r="B92" s="5"/>
      <c r="C92" s="73" t="s">
        <v>48</v>
      </c>
      <c r="D92" s="62"/>
      <c r="E92" s="62"/>
      <c r="F92" s="14"/>
      <c r="G92" s="74" t="str">
        <f>(H85*D89)+(H87*D90)</f>
        <v>#REF!</v>
      </c>
      <c r="H92" s="12"/>
      <c r="I92" s="69" t="s">
        <v>41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75" t="s">
        <v>49</v>
      </c>
      <c r="D94" s="76"/>
      <c r="E94" s="77"/>
      <c r="F94" s="78"/>
      <c r="G94" s="76"/>
      <c r="H94" s="76"/>
      <c r="I94" s="7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79"/>
      <c r="D95" s="65"/>
      <c r="E95" s="80"/>
      <c r="F95" s="79"/>
      <c r="G95" s="65"/>
      <c r="H95" s="65"/>
      <c r="I95" s="80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3.25" customHeight="1">
      <c r="A96" s="5"/>
      <c r="B96" s="5"/>
      <c r="C96" s="81" t="s">
        <v>50</v>
      </c>
      <c r="D96" s="15"/>
      <c r="E96" s="12"/>
      <c r="F96" s="82"/>
      <c r="G96" s="15"/>
      <c r="H96" s="15"/>
      <c r="I96" s="12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0">
    <mergeCell ref="A5:D5"/>
    <mergeCell ref="B7:M7"/>
    <mergeCell ref="C9:D9"/>
    <mergeCell ref="H9:I9"/>
    <mergeCell ref="J9:M9"/>
    <mergeCell ref="C10:D10"/>
    <mergeCell ref="H10:I10"/>
    <mergeCell ref="J10:M10"/>
    <mergeCell ref="B14:M14"/>
    <mergeCell ref="B16:B17"/>
    <mergeCell ref="C16:C17"/>
    <mergeCell ref="D16:E16"/>
    <mergeCell ref="H16:I16"/>
    <mergeCell ref="J16:K16"/>
    <mergeCell ref="F16:G16"/>
    <mergeCell ref="C78:G80"/>
    <mergeCell ref="I79:M79"/>
    <mergeCell ref="C81:G81"/>
    <mergeCell ref="C83:G83"/>
    <mergeCell ref="C85:G85"/>
    <mergeCell ref="C87:G87"/>
    <mergeCell ref="C96:E96"/>
    <mergeCell ref="F96:I96"/>
    <mergeCell ref="C89:C90"/>
    <mergeCell ref="E89:I89"/>
    <mergeCell ref="E90:I90"/>
    <mergeCell ref="C92:F92"/>
    <mergeCell ref="G92:H92"/>
    <mergeCell ref="C94:E95"/>
    <mergeCell ref="F94:I95"/>
  </mergeCells>
  <dataValidations>
    <dataValidation type="decimal" allowBlank="1" showInputMessage="1" showErrorMessage="1" prompt="Ugyldigt tal - Tallet på kilometertælleren skal være mellem 0 and 999.999,9" sqref="J18:K26 J28:K28">
      <formula1>0.0</formula1>
      <formula2>999999.9</formula2>
    </dataValidation>
  </dataValidations>
  <hyperlinks>
    <hyperlink r:id="rId1" ref="A13"/>
  </hyperlinks>
  <printOptions/>
  <pageMargins bottom="0.75" footer="0.0" header="0.0" left="0.7" right="0.7" top="0.75"/>
  <pageSetup orientation="landscape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0.13"/>
    <col customWidth="1" min="3" max="3" width="62.25"/>
    <col customWidth="1" min="4" max="4" width="12.25"/>
    <col customWidth="1" min="5" max="5" width="12.38"/>
    <col customWidth="1" min="6" max="6" width="20.88"/>
    <col customWidth="1" min="7" max="7" width="11.25"/>
    <col customWidth="1" min="8" max="8" width="19.38"/>
    <col customWidth="1" min="9" max="9" width="11.63"/>
    <col customWidth="1" min="10" max="10" width="13.38"/>
    <col customWidth="1" min="11" max="11" width="14.13"/>
    <col customWidth="1" min="12" max="13" width="14.5"/>
    <col customWidth="1" min="14" max="14" width="19.5"/>
    <col customWidth="1" min="15" max="26" width="8.75"/>
  </cols>
  <sheetData>
    <row r="1" ht="12.75" customHeight="1">
      <c r="A1" s="5"/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9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8"/>
      <c r="B9" s="10" t="s">
        <v>4</v>
      </c>
      <c r="C9" s="88">
        <v>45778.0</v>
      </c>
      <c r="D9" s="12"/>
      <c r="E9" s="9"/>
      <c r="F9" s="9"/>
      <c r="G9" s="9"/>
      <c r="H9" s="13" t="s">
        <v>6</v>
      </c>
      <c r="I9" s="14"/>
      <c r="J9" s="11" t="s">
        <v>7</v>
      </c>
      <c r="K9" s="15"/>
      <c r="L9" s="15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8"/>
      <c r="B10" s="16" t="s">
        <v>8</v>
      </c>
      <c r="C10" s="101" t="s">
        <v>63</v>
      </c>
      <c r="D10" s="12"/>
      <c r="E10" s="9"/>
      <c r="F10" s="9"/>
      <c r="G10" s="9"/>
      <c r="H10" s="13" t="s">
        <v>10</v>
      </c>
      <c r="I10" s="14"/>
      <c r="J10" s="17" t="s">
        <v>11</v>
      </c>
      <c r="K10" s="18"/>
      <c r="L10" s="18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20" t="s">
        <v>12</v>
      </c>
      <c r="K11" s="21">
        <f>SUM(L18:L31)</f>
        <v>0</v>
      </c>
      <c r="L11" s="9"/>
      <c r="M11" s="9"/>
      <c r="N11" s="100" t="s">
        <v>85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8"/>
      <c r="B12" s="9"/>
      <c r="C12" s="9"/>
      <c r="D12" s="9"/>
      <c r="E12" s="9"/>
      <c r="F12" s="9"/>
      <c r="G12" s="9"/>
      <c r="H12" s="9"/>
      <c r="I12" s="9"/>
      <c r="J12" s="20" t="s">
        <v>13</v>
      </c>
      <c r="K12" s="89">
        <v>3.81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90" t="s">
        <v>53</v>
      </c>
      <c r="B13" s="8"/>
      <c r="C13" s="8"/>
      <c r="D13" s="8"/>
      <c r="E13" s="5"/>
      <c r="F13" s="5"/>
      <c r="G13" s="5"/>
      <c r="H13" s="5"/>
      <c r="I13" s="5"/>
      <c r="J13" s="20" t="s">
        <v>15</v>
      </c>
      <c r="K13" s="22">
        <f>SUM(K11*K12)</f>
        <v>0</v>
      </c>
      <c r="L13" s="10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24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27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5.25" customHeight="1">
      <c r="A16" s="5"/>
      <c r="B16" s="29" t="s">
        <v>17</v>
      </c>
      <c r="C16" s="30" t="s">
        <v>18</v>
      </c>
      <c r="D16" s="31" t="s">
        <v>19</v>
      </c>
      <c r="E16" s="26"/>
      <c r="F16" s="31" t="s">
        <v>20</v>
      </c>
      <c r="G16" s="26"/>
      <c r="H16" s="31" t="s">
        <v>21</v>
      </c>
      <c r="I16" s="26"/>
      <c r="J16" s="31" t="s">
        <v>22</v>
      </c>
      <c r="K16" s="26"/>
      <c r="L16" s="104"/>
      <c r="M16" s="10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32"/>
      <c r="C17" s="32"/>
      <c r="D17" s="33" t="s">
        <v>24</v>
      </c>
      <c r="E17" s="33" t="s">
        <v>25</v>
      </c>
      <c r="F17" s="33" t="s">
        <v>26</v>
      </c>
      <c r="G17" s="33" t="s">
        <v>27</v>
      </c>
      <c r="H17" s="33" t="s">
        <v>26</v>
      </c>
      <c r="I17" s="33" t="s">
        <v>27</v>
      </c>
      <c r="J17" s="33" t="s">
        <v>28</v>
      </c>
      <c r="K17" s="33" t="s">
        <v>29</v>
      </c>
      <c r="L17" s="105" t="s">
        <v>24</v>
      </c>
      <c r="M17" s="33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5"/>
      <c r="B18" s="102"/>
      <c r="C18" s="125"/>
      <c r="D18" s="126"/>
      <c r="E18" s="127"/>
      <c r="G18" s="44"/>
      <c r="I18" s="108"/>
      <c r="J18" s="128"/>
      <c r="K18" s="129"/>
      <c r="L18" s="106"/>
      <c r="M18" s="130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5"/>
      <c r="B19" s="102"/>
      <c r="C19" s="93"/>
      <c r="D19" s="94"/>
      <c r="E19" s="47"/>
      <c r="G19" s="44"/>
      <c r="H19" s="95"/>
      <c r="I19" s="108"/>
      <c r="J19" s="96"/>
      <c r="K19" s="97"/>
      <c r="L19" s="106"/>
      <c r="M19" s="4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102"/>
      <c r="C20" s="93"/>
      <c r="D20" s="94"/>
      <c r="E20" s="47"/>
      <c r="G20" s="44"/>
      <c r="H20" s="95"/>
      <c r="I20" s="108"/>
      <c r="J20" s="96"/>
      <c r="K20" s="97"/>
      <c r="L20" s="106"/>
      <c r="M20" s="4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102"/>
      <c r="C21" s="93"/>
      <c r="D21" s="94"/>
      <c r="E21" s="47"/>
      <c r="G21" s="44"/>
      <c r="H21" s="95"/>
      <c r="I21" s="108"/>
      <c r="J21" s="96"/>
      <c r="K21" s="97"/>
      <c r="L21" s="106"/>
      <c r="M21" s="4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102"/>
      <c r="C22" s="93"/>
      <c r="D22" s="94"/>
      <c r="E22" s="47"/>
      <c r="G22" s="44"/>
      <c r="H22" s="95"/>
      <c r="I22" s="108"/>
      <c r="J22" s="96"/>
      <c r="K22" s="97"/>
      <c r="L22" s="106"/>
      <c r="M22" s="4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102"/>
      <c r="C23" s="93"/>
      <c r="D23" s="94"/>
      <c r="E23" s="47"/>
      <c r="G23" s="44"/>
      <c r="H23" s="95"/>
      <c r="I23" s="108"/>
      <c r="J23" s="96"/>
      <c r="K23" s="97"/>
      <c r="L23" s="106"/>
      <c r="M23" s="4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102"/>
      <c r="C24" s="93"/>
      <c r="D24" s="94"/>
      <c r="E24" s="47"/>
      <c r="G24" s="44"/>
      <c r="H24" s="95"/>
      <c r="I24" s="108"/>
      <c r="J24" s="96"/>
      <c r="K24" s="97"/>
      <c r="L24" s="106"/>
      <c r="M24" s="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102"/>
      <c r="C25" s="93"/>
      <c r="D25" s="94"/>
      <c r="E25" s="47"/>
      <c r="G25" s="44"/>
      <c r="H25" s="95"/>
      <c r="I25" s="108"/>
      <c r="J25" s="96"/>
      <c r="K25" s="97"/>
      <c r="L25" s="106"/>
      <c r="M25" s="4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102"/>
      <c r="C26" s="93"/>
      <c r="D26" s="94"/>
      <c r="E26" s="47"/>
      <c r="G26" s="44"/>
      <c r="H26" s="95"/>
      <c r="I26" s="108"/>
      <c r="J26" s="96"/>
      <c r="K26" s="96"/>
      <c r="L26" s="106"/>
      <c r="M26" s="4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34"/>
      <c r="C28" s="35"/>
      <c r="D28" s="36"/>
      <c r="E28" s="47"/>
      <c r="G28" s="44"/>
      <c r="H28" s="39"/>
      <c r="I28" s="44"/>
      <c r="J28" s="41"/>
      <c r="K28" s="42"/>
      <c r="L28" s="106"/>
      <c r="M28" s="4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34"/>
      <c r="C29" s="35"/>
      <c r="D29" s="47"/>
      <c r="E29" s="47"/>
      <c r="F29" s="39"/>
      <c r="G29" s="44"/>
      <c r="H29" s="47"/>
      <c r="I29" s="44"/>
      <c r="J29" s="43"/>
      <c r="K29" s="43"/>
      <c r="L29" s="43"/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34"/>
      <c r="C30" s="35"/>
      <c r="D30" s="47"/>
      <c r="E30" s="47"/>
      <c r="F30" s="39"/>
      <c r="G30" s="44"/>
      <c r="H30" s="47"/>
      <c r="I30" s="44"/>
      <c r="J30" s="43"/>
      <c r="K30" s="43"/>
      <c r="L30" s="43"/>
      <c r="M30" s="4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34"/>
      <c r="C31" s="35"/>
      <c r="D31" s="47"/>
      <c r="E31" s="47"/>
      <c r="F31" s="39"/>
      <c r="G31" s="44"/>
      <c r="H31" s="47"/>
      <c r="I31" s="44"/>
      <c r="J31" s="43"/>
      <c r="K31" s="43"/>
      <c r="L31" s="43"/>
      <c r="M31" s="4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34"/>
      <c r="C32" s="35"/>
      <c r="D32" s="47"/>
      <c r="E32" s="47"/>
      <c r="F32" s="39"/>
      <c r="G32" s="44"/>
      <c r="H32" s="47"/>
      <c r="I32" s="44"/>
      <c r="J32" s="43"/>
      <c r="K32" s="43"/>
      <c r="L32" s="43"/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34"/>
      <c r="C33" s="35"/>
      <c r="D33" s="47"/>
      <c r="E33" s="47"/>
      <c r="F33" s="39"/>
      <c r="G33" s="44"/>
      <c r="H33" s="47"/>
      <c r="I33" s="44"/>
      <c r="J33" s="43"/>
      <c r="K33" s="43"/>
      <c r="L33" s="43"/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34"/>
      <c r="C34" s="35"/>
      <c r="D34" s="47"/>
      <c r="E34" s="47"/>
      <c r="F34" s="39"/>
      <c r="G34" s="44"/>
      <c r="H34" s="47"/>
      <c r="I34" s="44"/>
      <c r="J34" s="43"/>
      <c r="K34" s="43"/>
      <c r="L34" s="43"/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34"/>
      <c r="C35" s="35"/>
      <c r="D35" s="47"/>
      <c r="E35" s="47"/>
      <c r="F35" s="39"/>
      <c r="G35" s="44"/>
      <c r="H35" s="47"/>
      <c r="I35" s="44"/>
      <c r="J35" s="43"/>
      <c r="K35" s="43"/>
      <c r="L35" s="43"/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34"/>
      <c r="C36" s="35"/>
      <c r="D36" s="47"/>
      <c r="E36" s="47"/>
      <c r="F36" s="39"/>
      <c r="G36" s="44"/>
      <c r="H36" s="47"/>
      <c r="I36" s="44"/>
      <c r="J36" s="43"/>
      <c r="K36" s="43"/>
      <c r="L36" s="43"/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34"/>
      <c r="C37" s="35"/>
      <c r="D37" s="47"/>
      <c r="E37" s="47"/>
      <c r="F37" s="39"/>
      <c r="G37" s="44"/>
      <c r="H37" s="47"/>
      <c r="I37" s="44"/>
      <c r="J37" s="43"/>
      <c r="K37" s="43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34"/>
      <c r="C38" s="35"/>
      <c r="D38" s="47"/>
      <c r="E38" s="47"/>
      <c r="F38" s="39"/>
      <c r="G38" s="44"/>
      <c r="H38" s="47"/>
      <c r="I38" s="44"/>
      <c r="J38" s="43"/>
      <c r="K38" s="43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34"/>
      <c r="C39" s="35"/>
      <c r="D39" s="47"/>
      <c r="E39" s="47"/>
      <c r="F39" s="39"/>
      <c r="G39" s="44"/>
      <c r="H39" s="47"/>
      <c r="I39" s="44"/>
      <c r="J39" s="43"/>
      <c r="K39" s="43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34"/>
      <c r="C40" s="35"/>
      <c r="D40" s="47"/>
      <c r="E40" s="47"/>
      <c r="F40" s="39"/>
      <c r="G40" s="44"/>
      <c r="H40" s="47"/>
      <c r="I40" s="44"/>
      <c r="J40" s="43"/>
      <c r="K40" s="43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34"/>
      <c r="C41" s="35"/>
      <c r="D41" s="47"/>
      <c r="E41" s="47"/>
      <c r="F41" s="39"/>
      <c r="G41" s="44"/>
      <c r="H41" s="47"/>
      <c r="I41" s="44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34"/>
      <c r="C42" s="35"/>
      <c r="D42" s="47"/>
      <c r="E42" s="47"/>
      <c r="F42" s="39"/>
      <c r="G42" s="44"/>
      <c r="H42" s="47"/>
      <c r="I42" s="44"/>
      <c r="J42" s="43"/>
      <c r="K42" s="43"/>
      <c r="L42" s="43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34"/>
      <c r="C43" s="35"/>
      <c r="D43" s="47"/>
      <c r="E43" s="47"/>
      <c r="F43" s="39"/>
      <c r="G43" s="44"/>
      <c r="H43" s="47"/>
      <c r="I43" s="44"/>
      <c r="J43" s="43"/>
      <c r="K43" s="43"/>
      <c r="L43" s="43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34"/>
      <c r="C44" s="35"/>
      <c r="D44" s="47"/>
      <c r="E44" s="47"/>
      <c r="F44" s="39"/>
      <c r="G44" s="44"/>
      <c r="H44" s="47"/>
      <c r="I44" s="44"/>
      <c r="J44" s="43"/>
      <c r="K44" s="43"/>
      <c r="L44" s="43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34"/>
      <c r="C45" s="53"/>
      <c r="D45" s="54"/>
      <c r="E45" s="54"/>
      <c r="F45" s="39"/>
      <c r="G45" s="44"/>
      <c r="H45" s="54"/>
      <c r="I45" s="44"/>
      <c r="J45" s="55"/>
      <c r="K45" s="55"/>
      <c r="L45" s="107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34"/>
      <c r="C46" s="35"/>
      <c r="D46" s="47"/>
      <c r="E46" s="47"/>
      <c r="F46" s="39"/>
      <c r="G46" s="44"/>
      <c r="H46" s="47"/>
      <c r="I46" s="44"/>
      <c r="J46" s="43"/>
      <c r="K46" s="43"/>
      <c r="L46" s="43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34"/>
      <c r="C47" s="35"/>
      <c r="D47" s="47"/>
      <c r="E47" s="47"/>
      <c r="F47" s="39"/>
      <c r="G47" s="44"/>
      <c r="H47" s="47"/>
      <c r="I47" s="44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34"/>
      <c r="C48" s="35"/>
      <c r="D48" s="47"/>
      <c r="E48" s="47"/>
      <c r="F48" s="39"/>
      <c r="G48" s="44"/>
      <c r="H48" s="47"/>
      <c r="I48" s="44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34"/>
      <c r="C49" s="35"/>
      <c r="D49" s="47"/>
      <c r="E49" s="47"/>
      <c r="F49" s="39"/>
      <c r="G49" s="44"/>
      <c r="H49" s="47"/>
      <c r="I49" s="44"/>
      <c r="J49" s="43"/>
      <c r="K49" s="43"/>
      <c r="L49" s="43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34"/>
      <c r="C50" s="35"/>
      <c r="D50" s="47"/>
      <c r="E50" s="47"/>
      <c r="F50" s="39"/>
      <c r="G50" s="44"/>
      <c r="H50" s="47"/>
      <c r="I50" s="44"/>
      <c r="J50" s="43"/>
      <c r="K50" s="43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34"/>
      <c r="C51" s="35"/>
      <c r="D51" s="47"/>
      <c r="E51" s="47"/>
      <c r="F51" s="39"/>
      <c r="G51" s="44"/>
      <c r="H51" s="47"/>
      <c r="I51" s="44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34"/>
      <c r="C52" s="35"/>
      <c r="D52" s="47"/>
      <c r="E52" s="47"/>
      <c r="F52" s="39"/>
      <c r="G52" s="44"/>
      <c r="H52" s="47"/>
      <c r="I52" s="44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34"/>
      <c r="C53" s="35"/>
      <c r="D53" s="47"/>
      <c r="E53" s="47"/>
      <c r="F53" s="39"/>
      <c r="G53" s="44"/>
      <c r="H53" s="47"/>
      <c r="I53" s="44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34"/>
      <c r="C54" s="35"/>
      <c r="D54" s="47"/>
      <c r="E54" s="47"/>
      <c r="F54" s="39"/>
      <c r="G54" s="44"/>
      <c r="H54" s="47"/>
      <c r="I54" s="44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34"/>
      <c r="C55" s="35"/>
      <c r="D55" s="47"/>
      <c r="E55" s="47"/>
      <c r="F55" s="39"/>
      <c r="G55" s="44"/>
      <c r="H55" s="47"/>
      <c r="I55" s="44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34"/>
      <c r="C56" s="35"/>
      <c r="D56" s="47"/>
      <c r="E56" s="47"/>
      <c r="F56" s="39"/>
      <c r="G56" s="44"/>
      <c r="H56" s="47"/>
      <c r="I56" s="44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34"/>
      <c r="C57" s="35"/>
      <c r="D57" s="47"/>
      <c r="E57" s="47"/>
      <c r="F57" s="39"/>
      <c r="G57" s="44"/>
      <c r="H57" s="47"/>
      <c r="I57" s="44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34"/>
      <c r="C58" s="35"/>
      <c r="D58" s="47"/>
      <c r="E58" s="47"/>
      <c r="F58" s="39"/>
      <c r="G58" s="44"/>
      <c r="H58" s="47"/>
      <c r="I58" s="44"/>
      <c r="J58" s="43"/>
      <c r="K58" s="43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34"/>
      <c r="C59" s="35"/>
      <c r="D59" s="47"/>
      <c r="E59" s="47"/>
      <c r="F59" s="39"/>
      <c r="G59" s="44"/>
      <c r="H59" s="47"/>
      <c r="I59" s="44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34"/>
      <c r="C60" s="35"/>
      <c r="D60" s="47"/>
      <c r="E60" s="47"/>
      <c r="F60" s="39"/>
      <c r="G60" s="44"/>
      <c r="H60" s="47"/>
      <c r="I60" s="44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34"/>
      <c r="C61" s="35"/>
      <c r="D61" s="47"/>
      <c r="E61" s="47"/>
      <c r="F61" s="39"/>
      <c r="G61" s="44"/>
      <c r="H61" s="47"/>
      <c r="I61" s="44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34"/>
      <c r="C62" s="35"/>
      <c r="D62" s="47"/>
      <c r="E62" s="47"/>
      <c r="F62" s="39"/>
      <c r="G62" s="44"/>
      <c r="H62" s="47"/>
      <c r="I62" s="44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34"/>
      <c r="C63" s="35"/>
      <c r="D63" s="47"/>
      <c r="E63" s="47"/>
      <c r="F63" s="39"/>
      <c r="G63" s="44"/>
      <c r="H63" s="47"/>
      <c r="I63" s="44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34"/>
      <c r="C64" s="35"/>
      <c r="D64" s="47"/>
      <c r="E64" s="47"/>
      <c r="F64" s="39"/>
      <c r="G64" s="44"/>
      <c r="H64" s="47"/>
      <c r="I64" s="44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34"/>
      <c r="C65" s="35"/>
      <c r="D65" s="47"/>
      <c r="E65" s="47"/>
      <c r="F65" s="39"/>
      <c r="G65" s="44"/>
      <c r="H65" s="47"/>
      <c r="I65" s="44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34"/>
      <c r="C66" s="35"/>
      <c r="D66" s="47"/>
      <c r="E66" s="47"/>
      <c r="F66" s="39"/>
      <c r="G66" s="44"/>
      <c r="H66" s="47"/>
      <c r="I66" s="44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34"/>
      <c r="C67" s="35"/>
      <c r="D67" s="47"/>
      <c r="E67" s="47"/>
      <c r="F67" s="39"/>
      <c r="G67" s="44"/>
      <c r="H67" s="47"/>
      <c r="I67" s="44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34"/>
      <c r="C68" s="35"/>
      <c r="D68" s="47"/>
      <c r="E68" s="47"/>
      <c r="F68" s="39"/>
      <c r="G68" s="44"/>
      <c r="H68" s="47"/>
      <c r="I68" s="44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34"/>
      <c r="C69" s="35"/>
      <c r="D69" s="47"/>
      <c r="E69" s="47"/>
      <c r="F69" s="39"/>
      <c r="G69" s="44"/>
      <c r="H69" s="47"/>
      <c r="I69" s="44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34"/>
      <c r="C70" s="35"/>
      <c r="D70" s="47"/>
      <c r="E70" s="47"/>
      <c r="F70" s="39"/>
      <c r="G70" s="44"/>
      <c r="H70" s="47"/>
      <c r="I70" s="44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34"/>
      <c r="C71" s="35"/>
      <c r="D71" s="47"/>
      <c r="E71" s="47"/>
      <c r="F71" s="39"/>
      <c r="G71" s="44"/>
      <c r="H71" s="47"/>
      <c r="I71" s="44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34"/>
      <c r="C72" s="35"/>
      <c r="D72" s="47"/>
      <c r="E72" s="47"/>
      <c r="F72" s="39"/>
      <c r="G72" s="44"/>
      <c r="H72" s="47"/>
      <c r="I72" s="44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34"/>
      <c r="C73" s="35"/>
      <c r="D73" s="47"/>
      <c r="E73" s="47"/>
      <c r="F73" s="39"/>
      <c r="G73" s="44"/>
      <c r="H73" s="47"/>
      <c r="I73" s="44"/>
      <c r="J73" s="43"/>
      <c r="K73" s="43"/>
      <c r="L73" s="43"/>
      <c r="M73" s="4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34"/>
      <c r="C74" s="35"/>
      <c r="D74" s="47"/>
      <c r="E74" s="47"/>
      <c r="F74" s="39"/>
      <c r="G74" s="44"/>
      <c r="H74" s="47"/>
      <c r="I74" s="44"/>
      <c r="J74" s="43"/>
      <c r="K74" s="43"/>
      <c r="L74" s="43"/>
      <c r="M74" s="4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34"/>
      <c r="C75" s="35"/>
      <c r="D75" s="47"/>
      <c r="E75" s="47"/>
      <c r="F75" s="39"/>
      <c r="G75" s="44"/>
      <c r="H75" s="47"/>
      <c r="I75" s="44"/>
      <c r="J75" s="43"/>
      <c r="K75" s="43"/>
      <c r="L75" s="43"/>
      <c r="M75" s="43">
        <f t="shared" ref="M75:M76" si="1">(K75-J75)*E75</f>
        <v>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34"/>
      <c r="C76" s="35"/>
      <c r="D76" s="47"/>
      <c r="E76" s="47"/>
      <c r="F76" s="39"/>
      <c r="G76" s="44"/>
      <c r="H76" s="47"/>
      <c r="I76" s="44"/>
      <c r="J76" s="43"/>
      <c r="K76" s="43"/>
      <c r="L76" s="43"/>
      <c r="M76" s="43">
        <f t="shared" si="1"/>
        <v>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6" t="s">
        <v>38</v>
      </c>
      <c r="D78" s="57"/>
      <c r="E78" s="57"/>
      <c r="F78" s="57"/>
      <c r="G78" s="5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9"/>
      <c r="G79" s="60"/>
      <c r="H79" s="43">
        <v>0.0</v>
      </c>
      <c r="I79" s="61" t="s">
        <v>39</v>
      </c>
      <c r="J79" s="62"/>
      <c r="K79" s="62"/>
      <c r="L79" s="62"/>
      <c r="M79" s="6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64"/>
      <c r="D80" s="65"/>
      <c r="E80" s="65"/>
      <c r="F80" s="65"/>
      <c r="G80" s="6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5"/>
      <c r="C81" s="67" t="s">
        <v>40</v>
      </c>
      <c r="D81" s="62"/>
      <c r="E81" s="62"/>
      <c r="F81" s="62"/>
      <c r="G81" s="14"/>
      <c r="H81" s="68" t="str">
        <f>SUM(#REF!)</f>
        <v>#REF!</v>
      </c>
      <c r="I81" s="69" t="s">
        <v>41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5"/>
      <c r="B83" s="5"/>
      <c r="C83" s="67" t="s">
        <v>42</v>
      </c>
      <c r="D83" s="62"/>
      <c r="E83" s="62"/>
      <c r="F83" s="62"/>
      <c r="G83" s="63"/>
      <c r="H83" s="68" t="str">
        <f>H79+H81</f>
        <v>#REF!</v>
      </c>
      <c r="I83" s="69" t="s">
        <v>41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75" customHeight="1">
      <c r="A85" s="5"/>
      <c r="B85" s="5"/>
      <c r="C85" s="67" t="s">
        <v>43</v>
      </c>
      <c r="D85" s="62"/>
      <c r="E85" s="62"/>
      <c r="F85" s="62"/>
      <c r="G85" s="63"/>
      <c r="H85" s="68" t="str">
        <f>IF(H83&lt;=20000,H81,IF(H79&gt;20000,0,20000-H79))</f>
        <v>#REF!</v>
      </c>
      <c r="I85" s="69" t="s">
        <v>41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5"/>
      <c r="C87" s="67" t="s">
        <v>44</v>
      </c>
      <c r="D87" s="62"/>
      <c r="E87" s="62"/>
      <c r="F87" s="62"/>
      <c r="G87" s="14"/>
      <c r="H87" s="68" t="str">
        <f>IF(H83&gt;20000,H83-H79-H85,0)</f>
        <v>#REF!</v>
      </c>
      <c r="I87" s="69" t="s">
        <v>41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7.25" customHeight="1">
      <c r="A89" s="5"/>
      <c r="B89" s="5"/>
      <c r="C89" s="70" t="s">
        <v>45</v>
      </c>
      <c r="D89" s="71">
        <v>3.79</v>
      </c>
      <c r="E89" s="72" t="s">
        <v>46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32"/>
      <c r="D90" s="71">
        <v>2.23</v>
      </c>
      <c r="E90" s="72" t="s">
        <v>47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30.0" customHeight="1">
      <c r="A92" s="5"/>
      <c r="B92" s="5"/>
      <c r="C92" s="73" t="s">
        <v>48</v>
      </c>
      <c r="D92" s="62"/>
      <c r="E92" s="62"/>
      <c r="F92" s="14"/>
      <c r="G92" s="74" t="str">
        <f>(H85*D89)+(H87*D90)</f>
        <v>#REF!</v>
      </c>
      <c r="H92" s="12"/>
      <c r="I92" s="69" t="s">
        <v>41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75" t="s">
        <v>49</v>
      </c>
      <c r="D94" s="76"/>
      <c r="E94" s="77"/>
      <c r="F94" s="78"/>
      <c r="G94" s="76"/>
      <c r="H94" s="76"/>
      <c r="I94" s="7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79"/>
      <c r="D95" s="65"/>
      <c r="E95" s="80"/>
      <c r="F95" s="79"/>
      <c r="G95" s="65"/>
      <c r="H95" s="65"/>
      <c r="I95" s="80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3.25" customHeight="1">
      <c r="A96" s="5"/>
      <c r="B96" s="5"/>
      <c r="C96" s="81" t="s">
        <v>50</v>
      </c>
      <c r="D96" s="15"/>
      <c r="E96" s="12"/>
      <c r="F96" s="82"/>
      <c r="G96" s="15"/>
      <c r="H96" s="15"/>
      <c r="I96" s="12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0">
    <mergeCell ref="A5:D5"/>
    <mergeCell ref="B7:M7"/>
    <mergeCell ref="C9:D9"/>
    <mergeCell ref="H9:I9"/>
    <mergeCell ref="J9:M9"/>
    <mergeCell ref="C10:D10"/>
    <mergeCell ref="H10:I10"/>
    <mergeCell ref="J10:M10"/>
    <mergeCell ref="B14:M14"/>
    <mergeCell ref="B16:B17"/>
    <mergeCell ref="C16:C17"/>
    <mergeCell ref="D16:E16"/>
    <mergeCell ref="H16:I16"/>
    <mergeCell ref="J16:K16"/>
    <mergeCell ref="F16:G16"/>
    <mergeCell ref="C78:G80"/>
    <mergeCell ref="I79:M79"/>
    <mergeCell ref="C81:G81"/>
    <mergeCell ref="C83:G83"/>
    <mergeCell ref="C85:G85"/>
    <mergeCell ref="C87:G87"/>
    <mergeCell ref="C96:E96"/>
    <mergeCell ref="F96:I96"/>
    <mergeCell ref="C89:C90"/>
    <mergeCell ref="E89:I89"/>
    <mergeCell ref="E90:I90"/>
    <mergeCell ref="C92:F92"/>
    <mergeCell ref="G92:H92"/>
    <mergeCell ref="C94:E95"/>
    <mergeCell ref="F94:I95"/>
  </mergeCells>
  <dataValidations>
    <dataValidation type="decimal" allowBlank="1" showInputMessage="1" showErrorMessage="1" prompt="Ugyldigt tal - Tallet på kilometertælleren skal være mellem 0 and 999.999,9" sqref="J18:K26 J28:K28">
      <formula1>0.0</formula1>
      <formula2>999999.9</formula2>
    </dataValidation>
  </dataValidations>
  <hyperlinks>
    <hyperlink r:id="rId1" ref="A13"/>
  </hyperlinks>
  <printOptions/>
  <pageMargins bottom="0.75" footer="0.0" header="0.0" left="0.7" right="0.7" top="0.75"/>
  <pageSetup orientation="landscape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0.13"/>
    <col customWidth="1" min="3" max="3" width="62.25"/>
    <col customWidth="1" min="4" max="4" width="12.25"/>
    <col customWidth="1" min="5" max="5" width="12.38"/>
    <col customWidth="1" min="6" max="6" width="20.88"/>
    <col customWidth="1" min="7" max="7" width="11.25"/>
    <col customWidth="1" min="8" max="8" width="19.38"/>
    <col customWidth="1" min="9" max="9" width="11.63"/>
    <col customWidth="1" min="10" max="10" width="13.38"/>
    <col customWidth="1" min="11" max="11" width="14.13"/>
    <col customWidth="1" min="12" max="13" width="14.5"/>
    <col customWidth="1" min="14" max="14" width="19.5"/>
    <col customWidth="1" min="15" max="26" width="8.75"/>
  </cols>
  <sheetData>
    <row r="1" ht="12.75" customHeight="1">
      <c r="A1" s="5"/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9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8"/>
      <c r="B9" s="10" t="s">
        <v>4</v>
      </c>
      <c r="C9" s="88">
        <v>45778.0</v>
      </c>
      <c r="D9" s="12"/>
      <c r="E9" s="9"/>
      <c r="F9" s="9"/>
      <c r="G9" s="9"/>
      <c r="H9" s="13" t="s">
        <v>6</v>
      </c>
      <c r="I9" s="14"/>
      <c r="J9" s="11" t="s">
        <v>7</v>
      </c>
      <c r="K9" s="15"/>
      <c r="L9" s="15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8"/>
      <c r="B10" s="16" t="s">
        <v>8</v>
      </c>
      <c r="C10" s="101" t="s">
        <v>63</v>
      </c>
      <c r="D10" s="12"/>
      <c r="E10" s="9"/>
      <c r="F10" s="9"/>
      <c r="G10" s="9"/>
      <c r="H10" s="13" t="s">
        <v>10</v>
      </c>
      <c r="I10" s="14"/>
      <c r="J10" s="17" t="s">
        <v>11</v>
      </c>
      <c r="K10" s="18"/>
      <c r="L10" s="18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20" t="s">
        <v>12</v>
      </c>
      <c r="K11" s="21">
        <f>SUM(L18:L31)</f>
        <v>0</v>
      </c>
      <c r="L11" s="9"/>
      <c r="M11" s="9"/>
      <c r="N11" s="100" t="s">
        <v>85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8"/>
      <c r="B12" s="9"/>
      <c r="C12" s="9"/>
      <c r="D12" s="9"/>
      <c r="E12" s="9"/>
      <c r="F12" s="9"/>
      <c r="G12" s="9"/>
      <c r="H12" s="9"/>
      <c r="I12" s="9"/>
      <c r="J12" s="20" t="s">
        <v>13</v>
      </c>
      <c r="K12" s="89">
        <v>3.81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90" t="s">
        <v>53</v>
      </c>
      <c r="B13" s="8"/>
      <c r="C13" s="8"/>
      <c r="D13" s="8"/>
      <c r="E13" s="5"/>
      <c r="F13" s="5"/>
      <c r="G13" s="5"/>
      <c r="H13" s="5"/>
      <c r="I13" s="5"/>
      <c r="J13" s="20" t="s">
        <v>15</v>
      </c>
      <c r="K13" s="22">
        <f>SUM(K11*K12)</f>
        <v>0</v>
      </c>
      <c r="L13" s="10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24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27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5.25" customHeight="1">
      <c r="A16" s="5"/>
      <c r="B16" s="29" t="s">
        <v>17</v>
      </c>
      <c r="C16" s="30" t="s">
        <v>18</v>
      </c>
      <c r="D16" s="31" t="s">
        <v>19</v>
      </c>
      <c r="E16" s="26"/>
      <c r="F16" s="31" t="s">
        <v>20</v>
      </c>
      <c r="G16" s="26"/>
      <c r="H16" s="31" t="s">
        <v>21</v>
      </c>
      <c r="I16" s="26"/>
      <c r="J16" s="31" t="s">
        <v>22</v>
      </c>
      <c r="K16" s="26"/>
      <c r="L16" s="104"/>
      <c r="M16" s="10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32"/>
      <c r="C17" s="32"/>
      <c r="D17" s="33" t="s">
        <v>24</v>
      </c>
      <c r="E17" s="33" t="s">
        <v>25</v>
      </c>
      <c r="F17" s="33" t="s">
        <v>26</v>
      </c>
      <c r="G17" s="33" t="s">
        <v>27</v>
      </c>
      <c r="H17" s="33" t="s">
        <v>26</v>
      </c>
      <c r="I17" s="33" t="s">
        <v>27</v>
      </c>
      <c r="J17" s="33" t="s">
        <v>28</v>
      </c>
      <c r="K17" s="33" t="s">
        <v>29</v>
      </c>
      <c r="L17" s="105" t="s">
        <v>24</v>
      </c>
      <c r="M17" s="33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5"/>
      <c r="B18" s="102"/>
      <c r="C18" s="125"/>
      <c r="D18" s="126"/>
      <c r="E18" s="127"/>
      <c r="G18" s="44"/>
      <c r="I18" s="108"/>
      <c r="J18" s="128"/>
      <c r="K18" s="129"/>
      <c r="L18" s="106"/>
      <c r="M18" s="130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5"/>
      <c r="B19" s="102"/>
      <c r="C19" s="93"/>
      <c r="D19" s="94"/>
      <c r="E19" s="47"/>
      <c r="G19" s="44"/>
      <c r="H19" s="95"/>
      <c r="I19" s="108"/>
      <c r="J19" s="96"/>
      <c r="K19" s="97"/>
      <c r="L19" s="106"/>
      <c r="M19" s="4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102"/>
      <c r="C20" s="93"/>
      <c r="D20" s="94"/>
      <c r="E20" s="47"/>
      <c r="G20" s="44"/>
      <c r="H20" s="95"/>
      <c r="I20" s="108"/>
      <c r="J20" s="96"/>
      <c r="K20" s="97"/>
      <c r="L20" s="106"/>
      <c r="M20" s="4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102"/>
      <c r="C21" s="93"/>
      <c r="D21" s="94"/>
      <c r="E21" s="47"/>
      <c r="G21" s="44"/>
      <c r="H21" s="95"/>
      <c r="I21" s="108"/>
      <c r="J21" s="96"/>
      <c r="K21" s="97"/>
      <c r="L21" s="106"/>
      <c r="M21" s="4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102"/>
      <c r="C22" s="93"/>
      <c r="D22" s="94"/>
      <c r="E22" s="47"/>
      <c r="G22" s="44"/>
      <c r="H22" s="95"/>
      <c r="I22" s="108"/>
      <c r="J22" s="96"/>
      <c r="K22" s="97"/>
      <c r="L22" s="106"/>
      <c r="M22" s="4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102"/>
      <c r="C23" s="93"/>
      <c r="D23" s="94"/>
      <c r="E23" s="47"/>
      <c r="G23" s="44"/>
      <c r="H23" s="95"/>
      <c r="I23" s="108"/>
      <c r="J23" s="96"/>
      <c r="K23" s="97"/>
      <c r="L23" s="106"/>
      <c r="M23" s="4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102"/>
      <c r="C24" s="93"/>
      <c r="D24" s="94"/>
      <c r="E24" s="47"/>
      <c r="G24" s="44"/>
      <c r="H24" s="95"/>
      <c r="I24" s="108"/>
      <c r="J24" s="96"/>
      <c r="K24" s="97"/>
      <c r="L24" s="106"/>
      <c r="M24" s="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102"/>
      <c r="C25" s="93"/>
      <c r="D25" s="94"/>
      <c r="E25" s="47"/>
      <c r="G25" s="44"/>
      <c r="H25" s="95"/>
      <c r="I25" s="108"/>
      <c r="J25" s="96"/>
      <c r="K25" s="97"/>
      <c r="L25" s="106"/>
      <c r="M25" s="4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102"/>
      <c r="C26" s="93"/>
      <c r="D26" s="94"/>
      <c r="E26" s="47"/>
      <c r="G26" s="44"/>
      <c r="H26" s="95"/>
      <c r="I26" s="108"/>
      <c r="J26" s="96"/>
      <c r="K26" s="96"/>
      <c r="L26" s="106"/>
      <c r="M26" s="4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34"/>
      <c r="C28" s="35"/>
      <c r="D28" s="36"/>
      <c r="E28" s="47"/>
      <c r="G28" s="44"/>
      <c r="H28" s="39"/>
      <c r="I28" s="44"/>
      <c r="J28" s="41"/>
      <c r="K28" s="42"/>
      <c r="L28" s="106"/>
      <c r="M28" s="4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34"/>
      <c r="C29" s="35"/>
      <c r="D29" s="47"/>
      <c r="E29" s="47"/>
      <c r="F29" s="39"/>
      <c r="G29" s="44"/>
      <c r="H29" s="47"/>
      <c r="I29" s="44"/>
      <c r="J29" s="43"/>
      <c r="K29" s="43"/>
      <c r="L29" s="43"/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34"/>
      <c r="C30" s="35"/>
      <c r="D30" s="47"/>
      <c r="E30" s="47"/>
      <c r="F30" s="39"/>
      <c r="G30" s="44"/>
      <c r="H30" s="47"/>
      <c r="I30" s="44"/>
      <c r="J30" s="43"/>
      <c r="K30" s="43"/>
      <c r="L30" s="43"/>
      <c r="M30" s="4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34"/>
      <c r="C31" s="35"/>
      <c r="D31" s="47"/>
      <c r="E31" s="47"/>
      <c r="F31" s="39"/>
      <c r="G31" s="44"/>
      <c r="H31" s="47"/>
      <c r="I31" s="44"/>
      <c r="J31" s="43"/>
      <c r="K31" s="43"/>
      <c r="L31" s="43"/>
      <c r="M31" s="4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34"/>
      <c r="C32" s="35"/>
      <c r="D32" s="47"/>
      <c r="E32" s="47"/>
      <c r="F32" s="39"/>
      <c r="G32" s="44"/>
      <c r="H32" s="47"/>
      <c r="I32" s="44"/>
      <c r="J32" s="43"/>
      <c r="K32" s="43"/>
      <c r="L32" s="43"/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34"/>
      <c r="C33" s="35"/>
      <c r="D33" s="47"/>
      <c r="E33" s="47"/>
      <c r="F33" s="39"/>
      <c r="G33" s="44"/>
      <c r="H33" s="47"/>
      <c r="I33" s="44"/>
      <c r="J33" s="43"/>
      <c r="K33" s="43"/>
      <c r="L33" s="43"/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34"/>
      <c r="C34" s="35"/>
      <c r="D34" s="47"/>
      <c r="E34" s="47"/>
      <c r="F34" s="39"/>
      <c r="G34" s="44"/>
      <c r="H34" s="47"/>
      <c r="I34" s="44"/>
      <c r="J34" s="43"/>
      <c r="K34" s="43"/>
      <c r="L34" s="43"/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34"/>
      <c r="C35" s="35"/>
      <c r="D35" s="47"/>
      <c r="E35" s="47"/>
      <c r="F35" s="39"/>
      <c r="G35" s="44"/>
      <c r="H35" s="47"/>
      <c r="I35" s="44"/>
      <c r="J35" s="43"/>
      <c r="K35" s="43"/>
      <c r="L35" s="43"/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34"/>
      <c r="C36" s="35"/>
      <c r="D36" s="47"/>
      <c r="E36" s="47"/>
      <c r="F36" s="39"/>
      <c r="G36" s="44"/>
      <c r="H36" s="47"/>
      <c r="I36" s="44"/>
      <c r="J36" s="43"/>
      <c r="K36" s="43"/>
      <c r="L36" s="43"/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34"/>
      <c r="C37" s="35"/>
      <c r="D37" s="47"/>
      <c r="E37" s="47"/>
      <c r="F37" s="39"/>
      <c r="G37" s="44"/>
      <c r="H37" s="47"/>
      <c r="I37" s="44"/>
      <c r="J37" s="43"/>
      <c r="K37" s="43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34"/>
      <c r="C38" s="35"/>
      <c r="D38" s="47"/>
      <c r="E38" s="47"/>
      <c r="F38" s="39"/>
      <c r="G38" s="44"/>
      <c r="H38" s="47"/>
      <c r="I38" s="44"/>
      <c r="J38" s="43"/>
      <c r="K38" s="43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34"/>
      <c r="C39" s="35"/>
      <c r="D39" s="47"/>
      <c r="E39" s="47"/>
      <c r="F39" s="39"/>
      <c r="G39" s="44"/>
      <c r="H39" s="47"/>
      <c r="I39" s="44"/>
      <c r="J39" s="43"/>
      <c r="K39" s="43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34"/>
      <c r="C40" s="35"/>
      <c r="D40" s="47"/>
      <c r="E40" s="47"/>
      <c r="F40" s="39"/>
      <c r="G40" s="44"/>
      <c r="H40" s="47"/>
      <c r="I40" s="44"/>
      <c r="J40" s="43"/>
      <c r="K40" s="43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34"/>
      <c r="C41" s="35"/>
      <c r="D41" s="47"/>
      <c r="E41" s="47"/>
      <c r="F41" s="39"/>
      <c r="G41" s="44"/>
      <c r="H41" s="47"/>
      <c r="I41" s="44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34"/>
      <c r="C42" s="35"/>
      <c r="D42" s="47"/>
      <c r="E42" s="47"/>
      <c r="F42" s="39"/>
      <c r="G42" s="44"/>
      <c r="H42" s="47"/>
      <c r="I42" s="44"/>
      <c r="J42" s="43"/>
      <c r="K42" s="43"/>
      <c r="L42" s="43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34"/>
      <c r="C43" s="35"/>
      <c r="D43" s="47"/>
      <c r="E43" s="47"/>
      <c r="F43" s="39"/>
      <c r="G43" s="44"/>
      <c r="H43" s="47"/>
      <c r="I43" s="44"/>
      <c r="J43" s="43"/>
      <c r="K43" s="43"/>
      <c r="L43" s="43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34"/>
      <c r="C44" s="35"/>
      <c r="D44" s="47"/>
      <c r="E44" s="47"/>
      <c r="F44" s="39"/>
      <c r="G44" s="44"/>
      <c r="H44" s="47"/>
      <c r="I44" s="44"/>
      <c r="J44" s="43"/>
      <c r="K44" s="43"/>
      <c r="L44" s="43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34"/>
      <c r="C45" s="53"/>
      <c r="D45" s="54"/>
      <c r="E45" s="54"/>
      <c r="F45" s="39"/>
      <c r="G45" s="44"/>
      <c r="H45" s="54"/>
      <c r="I45" s="44"/>
      <c r="J45" s="55"/>
      <c r="K45" s="55"/>
      <c r="L45" s="107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34"/>
      <c r="C46" s="35"/>
      <c r="D46" s="47"/>
      <c r="E46" s="47"/>
      <c r="F46" s="39"/>
      <c r="G46" s="44"/>
      <c r="H46" s="47"/>
      <c r="I46" s="44"/>
      <c r="J46" s="43"/>
      <c r="K46" s="43"/>
      <c r="L46" s="43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34"/>
      <c r="C47" s="35"/>
      <c r="D47" s="47"/>
      <c r="E47" s="47"/>
      <c r="F47" s="39"/>
      <c r="G47" s="44"/>
      <c r="H47" s="47"/>
      <c r="I47" s="44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34"/>
      <c r="C48" s="35"/>
      <c r="D48" s="47"/>
      <c r="E48" s="47"/>
      <c r="F48" s="39"/>
      <c r="G48" s="44"/>
      <c r="H48" s="47"/>
      <c r="I48" s="44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34"/>
      <c r="C49" s="35"/>
      <c r="D49" s="47"/>
      <c r="E49" s="47"/>
      <c r="F49" s="39"/>
      <c r="G49" s="44"/>
      <c r="H49" s="47"/>
      <c r="I49" s="44"/>
      <c r="J49" s="43"/>
      <c r="K49" s="43"/>
      <c r="L49" s="43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34"/>
      <c r="C50" s="35"/>
      <c r="D50" s="47"/>
      <c r="E50" s="47"/>
      <c r="F50" s="39"/>
      <c r="G50" s="44"/>
      <c r="H50" s="47"/>
      <c r="I50" s="44"/>
      <c r="J50" s="43"/>
      <c r="K50" s="43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34"/>
      <c r="C51" s="35"/>
      <c r="D51" s="47"/>
      <c r="E51" s="47"/>
      <c r="F51" s="39"/>
      <c r="G51" s="44"/>
      <c r="H51" s="47"/>
      <c r="I51" s="44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34"/>
      <c r="C52" s="35"/>
      <c r="D52" s="47"/>
      <c r="E52" s="47"/>
      <c r="F52" s="39"/>
      <c r="G52" s="44"/>
      <c r="H52" s="47"/>
      <c r="I52" s="44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34"/>
      <c r="C53" s="35"/>
      <c r="D53" s="47"/>
      <c r="E53" s="47"/>
      <c r="F53" s="39"/>
      <c r="G53" s="44"/>
      <c r="H53" s="47"/>
      <c r="I53" s="44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34"/>
      <c r="C54" s="35"/>
      <c r="D54" s="47"/>
      <c r="E54" s="47"/>
      <c r="F54" s="39"/>
      <c r="G54" s="44"/>
      <c r="H54" s="47"/>
      <c r="I54" s="44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34"/>
      <c r="C55" s="35"/>
      <c r="D55" s="47"/>
      <c r="E55" s="47"/>
      <c r="F55" s="39"/>
      <c r="G55" s="44"/>
      <c r="H55" s="47"/>
      <c r="I55" s="44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34"/>
      <c r="C56" s="35"/>
      <c r="D56" s="47"/>
      <c r="E56" s="47"/>
      <c r="F56" s="39"/>
      <c r="G56" s="44"/>
      <c r="H56" s="47"/>
      <c r="I56" s="44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34"/>
      <c r="C57" s="35"/>
      <c r="D57" s="47"/>
      <c r="E57" s="47"/>
      <c r="F57" s="39"/>
      <c r="G57" s="44"/>
      <c r="H57" s="47"/>
      <c r="I57" s="44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34"/>
      <c r="C58" s="35"/>
      <c r="D58" s="47"/>
      <c r="E58" s="47"/>
      <c r="F58" s="39"/>
      <c r="G58" s="44"/>
      <c r="H58" s="47"/>
      <c r="I58" s="44"/>
      <c r="J58" s="43"/>
      <c r="K58" s="43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34"/>
      <c r="C59" s="35"/>
      <c r="D59" s="47"/>
      <c r="E59" s="47"/>
      <c r="F59" s="39"/>
      <c r="G59" s="44"/>
      <c r="H59" s="47"/>
      <c r="I59" s="44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34"/>
      <c r="C60" s="35"/>
      <c r="D60" s="47"/>
      <c r="E60" s="47"/>
      <c r="F60" s="39"/>
      <c r="G60" s="44"/>
      <c r="H60" s="47"/>
      <c r="I60" s="44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34"/>
      <c r="C61" s="35"/>
      <c r="D61" s="47"/>
      <c r="E61" s="47"/>
      <c r="F61" s="39"/>
      <c r="G61" s="44"/>
      <c r="H61" s="47"/>
      <c r="I61" s="44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34"/>
      <c r="C62" s="35"/>
      <c r="D62" s="47"/>
      <c r="E62" s="47"/>
      <c r="F62" s="39"/>
      <c r="G62" s="44"/>
      <c r="H62" s="47"/>
      <c r="I62" s="44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34"/>
      <c r="C63" s="35"/>
      <c r="D63" s="47"/>
      <c r="E63" s="47"/>
      <c r="F63" s="39"/>
      <c r="G63" s="44"/>
      <c r="H63" s="47"/>
      <c r="I63" s="44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34"/>
      <c r="C64" s="35"/>
      <c r="D64" s="47"/>
      <c r="E64" s="47"/>
      <c r="F64" s="39"/>
      <c r="G64" s="44"/>
      <c r="H64" s="47"/>
      <c r="I64" s="44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34"/>
      <c r="C65" s="35"/>
      <c r="D65" s="47"/>
      <c r="E65" s="47"/>
      <c r="F65" s="39"/>
      <c r="G65" s="44"/>
      <c r="H65" s="47"/>
      <c r="I65" s="44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34"/>
      <c r="C66" s="35"/>
      <c r="D66" s="47"/>
      <c r="E66" s="47"/>
      <c r="F66" s="39"/>
      <c r="G66" s="44"/>
      <c r="H66" s="47"/>
      <c r="I66" s="44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34"/>
      <c r="C67" s="35"/>
      <c r="D67" s="47"/>
      <c r="E67" s="47"/>
      <c r="F67" s="39"/>
      <c r="G67" s="44"/>
      <c r="H67" s="47"/>
      <c r="I67" s="44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34"/>
      <c r="C68" s="35"/>
      <c r="D68" s="47"/>
      <c r="E68" s="47"/>
      <c r="F68" s="39"/>
      <c r="G68" s="44"/>
      <c r="H68" s="47"/>
      <c r="I68" s="44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34"/>
      <c r="C69" s="35"/>
      <c r="D69" s="47"/>
      <c r="E69" s="47"/>
      <c r="F69" s="39"/>
      <c r="G69" s="44"/>
      <c r="H69" s="47"/>
      <c r="I69" s="44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34"/>
      <c r="C70" s="35"/>
      <c r="D70" s="47"/>
      <c r="E70" s="47"/>
      <c r="F70" s="39"/>
      <c r="G70" s="44"/>
      <c r="H70" s="47"/>
      <c r="I70" s="44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34"/>
      <c r="C71" s="35"/>
      <c r="D71" s="47"/>
      <c r="E71" s="47"/>
      <c r="F71" s="39"/>
      <c r="G71" s="44"/>
      <c r="H71" s="47"/>
      <c r="I71" s="44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34"/>
      <c r="C72" s="35"/>
      <c r="D72" s="47"/>
      <c r="E72" s="47"/>
      <c r="F72" s="39"/>
      <c r="G72" s="44"/>
      <c r="H72" s="47"/>
      <c r="I72" s="44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34"/>
      <c r="C73" s="35"/>
      <c r="D73" s="47"/>
      <c r="E73" s="47"/>
      <c r="F73" s="39"/>
      <c r="G73" s="44"/>
      <c r="H73" s="47"/>
      <c r="I73" s="44"/>
      <c r="J73" s="43"/>
      <c r="K73" s="43"/>
      <c r="L73" s="43"/>
      <c r="M73" s="4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34"/>
      <c r="C74" s="35"/>
      <c r="D74" s="47"/>
      <c r="E74" s="47"/>
      <c r="F74" s="39"/>
      <c r="G74" s="44"/>
      <c r="H74" s="47"/>
      <c r="I74" s="44"/>
      <c r="J74" s="43"/>
      <c r="K74" s="43"/>
      <c r="L74" s="43"/>
      <c r="M74" s="4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34"/>
      <c r="C75" s="35"/>
      <c r="D75" s="47"/>
      <c r="E75" s="47"/>
      <c r="F75" s="39"/>
      <c r="G75" s="44"/>
      <c r="H75" s="47"/>
      <c r="I75" s="44"/>
      <c r="J75" s="43"/>
      <c r="K75" s="43"/>
      <c r="L75" s="43"/>
      <c r="M75" s="43">
        <f t="shared" ref="M75:M76" si="1">(K75-J75)*E75</f>
        <v>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34"/>
      <c r="C76" s="35"/>
      <c r="D76" s="47"/>
      <c r="E76" s="47"/>
      <c r="F76" s="39"/>
      <c r="G76" s="44"/>
      <c r="H76" s="47"/>
      <c r="I76" s="44"/>
      <c r="J76" s="43"/>
      <c r="K76" s="43"/>
      <c r="L76" s="43"/>
      <c r="M76" s="43">
        <f t="shared" si="1"/>
        <v>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6" t="s">
        <v>38</v>
      </c>
      <c r="D78" s="57"/>
      <c r="E78" s="57"/>
      <c r="F78" s="57"/>
      <c r="G78" s="5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9"/>
      <c r="G79" s="60"/>
      <c r="H79" s="43">
        <v>0.0</v>
      </c>
      <c r="I79" s="61" t="s">
        <v>39</v>
      </c>
      <c r="J79" s="62"/>
      <c r="K79" s="62"/>
      <c r="L79" s="62"/>
      <c r="M79" s="6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64"/>
      <c r="D80" s="65"/>
      <c r="E80" s="65"/>
      <c r="F80" s="65"/>
      <c r="G80" s="6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5"/>
      <c r="C81" s="67" t="s">
        <v>40</v>
      </c>
      <c r="D81" s="62"/>
      <c r="E81" s="62"/>
      <c r="F81" s="62"/>
      <c r="G81" s="14"/>
      <c r="H81" s="68" t="str">
        <f>SUM(#REF!)</f>
        <v>#REF!</v>
      </c>
      <c r="I81" s="69" t="s">
        <v>41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5"/>
      <c r="B83" s="5"/>
      <c r="C83" s="67" t="s">
        <v>42</v>
      </c>
      <c r="D83" s="62"/>
      <c r="E83" s="62"/>
      <c r="F83" s="62"/>
      <c r="G83" s="63"/>
      <c r="H83" s="68" t="str">
        <f>H79+H81</f>
        <v>#REF!</v>
      </c>
      <c r="I83" s="69" t="s">
        <v>41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75" customHeight="1">
      <c r="A85" s="5"/>
      <c r="B85" s="5"/>
      <c r="C85" s="67" t="s">
        <v>43</v>
      </c>
      <c r="D85" s="62"/>
      <c r="E85" s="62"/>
      <c r="F85" s="62"/>
      <c r="G85" s="63"/>
      <c r="H85" s="68" t="str">
        <f>IF(H83&lt;=20000,H81,IF(H79&gt;20000,0,20000-H79))</f>
        <v>#REF!</v>
      </c>
      <c r="I85" s="69" t="s">
        <v>41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5"/>
      <c r="C87" s="67" t="s">
        <v>44</v>
      </c>
      <c r="D87" s="62"/>
      <c r="E87" s="62"/>
      <c r="F87" s="62"/>
      <c r="G87" s="14"/>
      <c r="H87" s="68" t="str">
        <f>IF(H83&gt;20000,H83-H79-H85,0)</f>
        <v>#REF!</v>
      </c>
      <c r="I87" s="69" t="s">
        <v>41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7.25" customHeight="1">
      <c r="A89" s="5"/>
      <c r="B89" s="5"/>
      <c r="C89" s="70" t="s">
        <v>45</v>
      </c>
      <c r="D89" s="71">
        <v>3.79</v>
      </c>
      <c r="E89" s="72" t="s">
        <v>46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32"/>
      <c r="D90" s="71">
        <v>2.23</v>
      </c>
      <c r="E90" s="72" t="s">
        <v>47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30.0" customHeight="1">
      <c r="A92" s="5"/>
      <c r="B92" s="5"/>
      <c r="C92" s="73" t="s">
        <v>48</v>
      </c>
      <c r="D92" s="62"/>
      <c r="E92" s="62"/>
      <c r="F92" s="14"/>
      <c r="G92" s="74" t="str">
        <f>(H85*D89)+(H87*D90)</f>
        <v>#REF!</v>
      </c>
      <c r="H92" s="12"/>
      <c r="I92" s="69" t="s">
        <v>41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75" t="s">
        <v>49</v>
      </c>
      <c r="D94" s="76"/>
      <c r="E94" s="77"/>
      <c r="F94" s="78"/>
      <c r="G94" s="76"/>
      <c r="H94" s="76"/>
      <c r="I94" s="7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79"/>
      <c r="D95" s="65"/>
      <c r="E95" s="80"/>
      <c r="F95" s="79"/>
      <c r="G95" s="65"/>
      <c r="H95" s="65"/>
      <c r="I95" s="80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3.25" customHeight="1">
      <c r="A96" s="5"/>
      <c r="B96" s="5"/>
      <c r="C96" s="81" t="s">
        <v>50</v>
      </c>
      <c r="D96" s="15"/>
      <c r="E96" s="12"/>
      <c r="F96" s="82"/>
      <c r="G96" s="15"/>
      <c r="H96" s="15"/>
      <c r="I96" s="12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0">
    <mergeCell ref="A5:D5"/>
    <mergeCell ref="B7:M7"/>
    <mergeCell ref="C9:D9"/>
    <mergeCell ref="H9:I9"/>
    <mergeCell ref="J9:M9"/>
    <mergeCell ref="C10:D10"/>
    <mergeCell ref="H10:I10"/>
    <mergeCell ref="J10:M10"/>
    <mergeCell ref="B14:M14"/>
    <mergeCell ref="B16:B17"/>
    <mergeCell ref="C16:C17"/>
    <mergeCell ref="D16:E16"/>
    <mergeCell ref="H16:I16"/>
    <mergeCell ref="J16:K16"/>
    <mergeCell ref="F16:G16"/>
    <mergeCell ref="C78:G80"/>
    <mergeCell ref="I79:M79"/>
    <mergeCell ref="C81:G81"/>
    <mergeCell ref="C83:G83"/>
    <mergeCell ref="C85:G85"/>
    <mergeCell ref="C87:G87"/>
    <mergeCell ref="C96:E96"/>
    <mergeCell ref="F96:I96"/>
    <mergeCell ref="C89:C90"/>
    <mergeCell ref="E89:I89"/>
    <mergeCell ref="E90:I90"/>
    <mergeCell ref="C92:F92"/>
    <mergeCell ref="G92:H92"/>
    <mergeCell ref="C94:E95"/>
    <mergeCell ref="F94:I95"/>
  </mergeCells>
  <dataValidations>
    <dataValidation type="decimal" allowBlank="1" showInputMessage="1" showErrorMessage="1" prompt="Ugyldigt tal - Tallet på kilometertælleren skal være mellem 0 and 999.999,9" sqref="J18:K26 J28:K28">
      <formula1>0.0</formula1>
      <formula2>999999.9</formula2>
    </dataValidation>
  </dataValidations>
  <hyperlinks>
    <hyperlink r:id="rId1" ref="A13"/>
  </hyperlinks>
  <printOptions/>
  <pageMargins bottom="0.75" footer="0.0" header="0.0" left="0.7" right="0.7" top="0.75"/>
  <pageSetup orientation="landscape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0.13"/>
    <col customWidth="1" min="3" max="3" width="62.25"/>
    <col customWidth="1" min="4" max="4" width="12.25"/>
    <col customWidth="1" min="5" max="5" width="12.38"/>
    <col customWidth="1" min="6" max="6" width="20.88"/>
    <col customWidth="1" min="7" max="7" width="11.25"/>
    <col customWidth="1" min="8" max="8" width="19.38"/>
    <col customWidth="1" min="9" max="9" width="11.63"/>
    <col customWidth="1" min="10" max="10" width="13.38"/>
    <col customWidth="1" min="11" max="11" width="14.13"/>
    <col customWidth="1" min="12" max="13" width="14.5"/>
    <col customWidth="1" min="14" max="14" width="19.5"/>
    <col customWidth="1" min="15" max="26" width="8.75"/>
  </cols>
  <sheetData>
    <row r="1" ht="12.75" customHeight="1">
      <c r="A1" s="5"/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9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8"/>
      <c r="B9" s="10" t="s">
        <v>4</v>
      </c>
      <c r="C9" s="88">
        <v>45778.0</v>
      </c>
      <c r="D9" s="12"/>
      <c r="E9" s="9"/>
      <c r="F9" s="9"/>
      <c r="G9" s="9"/>
      <c r="H9" s="13" t="s">
        <v>6</v>
      </c>
      <c r="I9" s="14"/>
      <c r="J9" s="11" t="s">
        <v>7</v>
      </c>
      <c r="K9" s="15"/>
      <c r="L9" s="15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8"/>
      <c r="B10" s="16" t="s">
        <v>8</v>
      </c>
      <c r="C10" s="101" t="s">
        <v>63</v>
      </c>
      <c r="D10" s="12"/>
      <c r="E10" s="9"/>
      <c r="F10" s="9"/>
      <c r="G10" s="9"/>
      <c r="H10" s="13" t="s">
        <v>10</v>
      </c>
      <c r="I10" s="14"/>
      <c r="J10" s="17" t="s">
        <v>11</v>
      </c>
      <c r="K10" s="18"/>
      <c r="L10" s="18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20" t="s">
        <v>12</v>
      </c>
      <c r="K11" s="21">
        <f>SUM(L18:L31)</f>
        <v>0</v>
      </c>
      <c r="L11" s="9"/>
      <c r="M11" s="9"/>
      <c r="N11" s="100" t="s">
        <v>85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8"/>
      <c r="B12" s="9"/>
      <c r="C12" s="9"/>
      <c r="D12" s="9"/>
      <c r="E12" s="9"/>
      <c r="F12" s="9"/>
      <c r="G12" s="9"/>
      <c r="H12" s="9"/>
      <c r="I12" s="9"/>
      <c r="J12" s="20" t="s">
        <v>13</v>
      </c>
      <c r="K12" s="89">
        <v>3.81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90" t="s">
        <v>53</v>
      </c>
      <c r="B13" s="8"/>
      <c r="C13" s="8"/>
      <c r="D13" s="8"/>
      <c r="E13" s="5"/>
      <c r="F13" s="5"/>
      <c r="G13" s="5"/>
      <c r="H13" s="5"/>
      <c r="I13" s="5"/>
      <c r="J13" s="20" t="s">
        <v>15</v>
      </c>
      <c r="K13" s="22">
        <f>SUM(K11*K12)</f>
        <v>0</v>
      </c>
      <c r="L13" s="10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24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27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5.25" customHeight="1">
      <c r="A16" s="5"/>
      <c r="B16" s="29" t="s">
        <v>17</v>
      </c>
      <c r="C16" s="30" t="s">
        <v>18</v>
      </c>
      <c r="D16" s="31" t="s">
        <v>19</v>
      </c>
      <c r="E16" s="26"/>
      <c r="F16" s="31" t="s">
        <v>20</v>
      </c>
      <c r="G16" s="26"/>
      <c r="H16" s="31" t="s">
        <v>21</v>
      </c>
      <c r="I16" s="26"/>
      <c r="J16" s="31" t="s">
        <v>22</v>
      </c>
      <c r="K16" s="26"/>
      <c r="L16" s="104"/>
      <c r="M16" s="10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32"/>
      <c r="C17" s="32"/>
      <c r="D17" s="33" t="s">
        <v>24</v>
      </c>
      <c r="E17" s="33" t="s">
        <v>25</v>
      </c>
      <c r="F17" s="33" t="s">
        <v>26</v>
      </c>
      <c r="G17" s="33" t="s">
        <v>27</v>
      </c>
      <c r="H17" s="33" t="s">
        <v>26</v>
      </c>
      <c r="I17" s="33" t="s">
        <v>27</v>
      </c>
      <c r="J17" s="33" t="s">
        <v>28</v>
      </c>
      <c r="K17" s="33" t="s">
        <v>29</v>
      </c>
      <c r="L17" s="105" t="s">
        <v>24</v>
      </c>
      <c r="M17" s="33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5"/>
      <c r="B18" s="102"/>
      <c r="C18" s="125"/>
      <c r="D18" s="126"/>
      <c r="E18" s="127"/>
      <c r="G18" s="44"/>
      <c r="I18" s="108"/>
      <c r="J18" s="128"/>
      <c r="K18" s="129"/>
      <c r="L18" s="106"/>
      <c r="M18" s="130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5"/>
      <c r="B19" s="102"/>
      <c r="C19" s="93"/>
      <c r="D19" s="94"/>
      <c r="E19" s="47"/>
      <c r="G19" s="44"/>
      <c r="H19" s="95"/>
      <c r="I19" s="108"/>
      <c r="J19" s="96"/>
      <c r="K19" s="97"/>
      <c r="L19" s="106"/>
      <c r="M19" s="4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102"/>
      <c r="C20" s="93"/>
      <c r="D20" s="94"/>
      <c r="E20" s="47"/>
      <c r="G20" s="44"/>
      <c r="H20" s="95"/>
      <c r="I20" s="108"/>
      <c r="J20" s="96"/>
      <c r="K20" s="97"/>
      <c r="L20" s="106"/>
      <c r="M20" s="4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102"/>
      <c r="C21" s="93"/>
      <c r="D21" s="94"/>
      <c r="E21" s="47"/>
      <c r="G21" s="44"/>
      <c r="H21" s="95"/>
      <c r="I21" s="108"/>
      <c r="J21" s="96"/>
      <c r="K21" s="97"/>
      <c r="L21" s="106"/>
      <c r="M21" s="4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102"/>
      <c r="C22" s="93"/>
      <c r="D22" s="94"/>
      <c r="E22" s="47"/>
      <c r="G22" s="44"/>
      <c r="H22" s="95"/>
      <c r="I22" s="108"/>
      <c r="J22" s="96"/>
      <c r="K22" s="97"/>
      <c r="L22" s="106"/>
      <c r="M22" s="4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102"/>
      <c r="C23" s="93"/>
      <c r="D23" s="94"/>
      <c r="E23" s="47"/>
      <c r="G23" s="44"/>
      <c r="H23" s="95"/>
      <c r="I23" s="108"/>
      <c r="J23" s="96"/>
      <c r="K23" s="97"/>
      <c r="L23" s="106"/>
      <c r="M23" s="4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102"/>
      <c r="C24" s="93"/>
      <c r="D24" s="94"/>
      <c r="E24" s="47"/>
      <c r="G24" s="44"/>
      <c r="H24" s="95"/>
      <c r="I24" s="108"/>
      <c r="J24" s="96"/>
      <c r="K24" s="97"/>
      <c r="L24" s="106"/>
      <c r="M24" s="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102"/>
      <c r="C25" s="93"/>
      <c r="D25" s="94"/>
      <c r="E25" s="47"/>
      <c r="G25" s="44"/>
      <c r="H25" s="95"/>
      <c r="I25" s="108"/>
      <c r="J25" s="96"/>
      <c r="K25" s="97"/>
      <c r="L25" s="106"/>
      <c r="M25" s="4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102"/>
      <c r="C26" s="93"/>
      <c r="D26" s="94"/>
      <c r="E26" s="47"/>
      <c r="G26" s="44"/>
      <c r="H26" s="95"/>
      <c r="I26" s="108"/>
      <c r="J26" s="96"/>
      <c r="K26" s="96"/>
      <c r="L26" s="106"/>
      <c r="M26" s="4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34"/>
      <c r="C28" s="35"/>
      <c r="D28" s="36"/>
      <c r="E28" s="47"/>
      <c r="G28" s="44"/>
      <c r="H28" s="39"/>
      <c r="I28" s="44"/>
      <c r="J28" s="41"/>
      <c r="K28" s="42"/>
      <c r="L28" s="106"/>
      <c r="M28" s="4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34"/>
      <c r="C29" s="35"/>
      <c r="D29" s="47"/>
      <c r="E29" s="47"/>
      <c r="F29" s="39"/>
      <c r="G29" s="44"/>
      <c r="H29" s="47"/>
      <c r="I29" s="44"/>
      <c r="J29" s="43"/>
      <c r="K29" s="43"/>
      <c r="L29" s="43"/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34"/>
      <c r="C30" s="35"/>
      <c r="D30" s="47"/>
      <c r="E30" s="47"/>
      <c r="F30" s="39"/>
      <c r="G30" s="44"/>
      <c r="H30" s="47"/>
      <c r="I30" s="44"/>
      <c r="J30" s="43"/>
      <c r="K30" s="43"/>
      <c r="L30" s="43"/>
      <c r="M30" s="4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34"/>
      <c r="C31" s="35"/>
      <c r="D31" s="47"/>
      <c r="E31" s="47"/>
      <c r="F31" s="39"/>
      <c r="G31" s="44"/>
      <c r="H31" s="47"/>
      <c r="I31" s="44"/>
      <c r="J31" s="43"/>
      <c r="K31" s="43"/>
      <c r="L31" s="43"/>
      <c r="M31" s="4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34"/>
      <c r="C32" s="35"/>
      <c r="D32" s="47"/>
      <c r="E32" s="47"/>
      <c r="F32" s="39"/>
      <c r="G32" s="44"/>
      <c r="H32" s="47"/>
      <c r="I32" s="44"/>
      <c r="J32" s="43"/>
      <c r="K32" s="43"/>
      <c r="L32" s="43"/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34"/>
      <c r="C33" s="35"/>
      <c r="D33" s="47"/>
      <c r="E33" s="47"/>
      <c r="F33" s="39"/>
      <c r="G33" s="44"/>
      <c r="H33" s="47"/>
      <c r="I33" s="44"/>
      <c r="J33" s="43"/>
      <c r="K33" s="43"/>
      <c r="L33" s="43"/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34"/>
      <c r="C34" s="35"/>
      <c r="D34" s="47"/>
      <c r="E34" s="47"/>
      <c r="F34" s="39"/>
      <c r="G34" s="44"/>
      <c r="H34" s="47"/>
      <c r="I34" s="44"/>
      <c r="J34" s="43"/>
      <c r="K34" s="43"/>
      <c r="L34" s="43"/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34"/>
      <c r="C35" s="35"/>
      <c r="D35" s="47"/>
      <c r="E35" s="47"/>
      <c r="F35" s="39"/>
      <c r="G35" s="44"/>
      <c r="H35" s="47"/>
      <c r="I35" s="44"/>
      <c r="J35" s="43"/>
      <c r="K35" s="43"/>
      <c r="L35" s="43"/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34"/>
      <c r="C36" s="35"/>
      <c r="D36" s="47"/>
      <c r="E36" s="47"/>
      <c r="F36" s="39"/>
      <c r="G36" s="44"/>
      <c r="H36" s="47"/>
      <c r="I36" s="44"/>
      <c r="J36" s="43"/>
      <c r="K36" s="43"/>
      <c r="L36" s="43"/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34"/>
      <c r="C37" s="35"/>
      <c r="D37" s="47"/>
      <c r="E37" s="47"/>
      <c r="F37" s="39"/>
      <c r="G37" s="44"/>
      <c r="H37" s="47"/>
      <c r="I37" s="44"/>
      <c r="J37" s="43"/>
      <c r="K37" s="43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34"/>
      <c r="C38" s="35"/>
      <c r="D38" s="47"/>
      <c r="E38" s="47"/>
      <c r="F38" s="39"/>
      <c r="G38" s="44"/>
      <c r="H38" s="47"/>
      <c r="I38" s="44"/>
      <c r="J38" s="43"/>
      <c r="K38" s="43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34"/>
      <c r="C39" s="35"/>
      <c r="D39" s="47"/>
      <c r="E39" s="47"/>
      <c r="F39" s="39"/>
      <c r="G39" s="44"/>
      <c r="H39" s="47"/>
      <c r="I39" s="44"/>
      <c r="J39" s="43"/>
      <c r="K39" s="43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34"/>
      <c r="C40" s="35"/>
      <c r="D40" s="47"/>
      <c r="E40" s="47"/>
      <c r="F40" s="39"/>
      <c r="G40" s="44"/>
      <c r="H40" s="47"/>
      <c r="I40" s="44"/>
      <c r="J40" s="43"/>
      <c r="K40" s="43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34"/>
      <c r="C41" s="35"/>
      <c r="D41" s="47"/>
      <c r="E41" s="47"/>
      <c r="F41" s="39"/>
      <c r="G41" s="44"/>
      <c r="H41" s="47"/>
      <c r="I41" s="44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34"/>
      <c r="C42" s="35"/>
      <c r="D42" s="47"/>
      <c r="E42" s="47"/>
      <c r="F42" s="39"/>
      <c r="G42" s="44"/>
      <c r="H42" s="47"/>
      <c r="I42" s="44"/>
      <c r="J42" s="43"/>
      <c r="K42" s="43"/>
      <c r="L42" s="43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34"/>
      <c r="C43" s="35"/>
      <c r="D43" s="47"/>
      <c r="E43" s="47"/>
      <c r="F43" s="39"/>
      <c r="G43" s="44"/>
      <c r="H43" s="47"/>
      <c r="I43" s="44"/>
      <c r="J43" s="43"/>
      <c r="K43" s="43"/>
      <c r="L43" s="43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34"/>
      <c r="C44" s="35"/>
      <c r="D44" s="47"/>
      <c r="E44" s="47"/>
      <c r="F44" s="39"/>
      <c r="G44" s="44"/>
      <c r="H44" s="47"/>
      <c r="I44" s="44"/>
      <c r="J44" s="43"/>
      <c r="K44" s="43"/>
      <c r="L44" s="43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34"/>
      <c r="C45" s="53"/>
      <c r="D45" s="54"/>
      <c r="E45" s="54"/>
      <c r="F45" s="39"/>
      <c r="G45" s="44"/>
      <c r="H45" s="54"/>
      <c r="I45" s="44"/>
      <c r="J45" s="55"/>
      <c r="K45" s="55"/>
      <c r="L45" s="107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34"/>
      <c r="C46" s="35"/>
      <c r="D46" s="47"/>
      <c r="E46" s="47"/>
      <c r="F46" s="39"/>
      <c r="G46" s="44"/>
      <c r="H46" s="47"/>
      <c r="I46" s="44"/>
      <c r="J46" s="43"/>
      <c r="K46" s="43"/>
      <c r="L46" s="43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34"/>
      <c r="C47" s="35"/>
      <c r="D47" s="47"/>
      <c r="E47" s="47"/>
      <c r="F47" s="39"/>
      <c r="G47" s="44"/>
      <c r="H47" s="47"/>
      <c r="I47" s="44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34"/>
      <c r="C48" s="35"/>
      <c r="D48" s="47"/>
      <c r="E48" s="47"/>
      <c r="F48" s="39"/>
      <c r="G48" s="44"/>
      <c r="H48" s="47"/>
      <c r="I48" s="44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34"/>
      <c r="C49" s="35"/>
      <c r="D49" s="47"/>
      <c r="E49" s="47"/>
      <c r="F49" s="39"/>
      <c r="G49" s="44"/>
      <c r="H49" s="47"/>
      <c r="I49" s="44"/>
      <c r="J49" s="43"/>
      <c r="K49" s="43"/>
      <c r="L49" s="43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34"/>
      <c r="C50" s="35"/>
      <c r="D50" s="47"/>
      <c r="E50" s="47"/>
      <c r="F50" s="39"/>
      <c r="G50" s="44"/>
      <c r="H50" s="47"/>
      <c r="I50" s="44"/>
      <c r="J50" s="43"/>
      <c r="K50" s="43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34"/>
      <c r="C51" s="35"/>
      <c r="D51" s="47"/>
      <c r="E51" s="47"/>
      <c r="F51" s="39"/>
      <c r="G51" s="44"/>
      <c r="H51" s="47"/>
      <c r="I51" s="44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34"/>
      <c r="C52" s="35"/>
      <c r="D52" s="47"/>
      <c r="E52" s="47"/>
      <c r="F52" s="39"/>
      <c r="G52" s="44"/>
      <c r="H52" s="47"/>
      <c r="I52" s="44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34"/>
      <c r="C53" s="35"/>
      <c r="D53" s="47"/>
      <c r="E53" s="47"/>
      <c r="F53" s="39"/>
      <c r="G53" s="44"/>
      <c r="H53" s="47"/>
      <c r="I53" s="44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34"/>
      <c r="C54" s="35"/>
      <c r="D54" s="47"/>
      <c r="E54" s="47"/>
      <c r="F54" s="39"/>
      <c r="G54" s="44"/>
      <c r="H54" s="47"/>
      <c r="I54" s="44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34"/>
      <c r="C55" s="35"/>
      <c r="D55" s="47"/>
      <c r="E55" s="47"/>
      <c r="F55" s="39"/>
      <c r="G55" s="44"/>
      <c r="H55" s="47"/>
      <c r="I55" s="44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34"/>
      <c r="C56" s="35"/>
      <c r="D56" s="47"/>
      <c r="E56" s="47"/>
      <c r="F56" s="39"/>
      <c r="G56" s="44"/>
      <c r="H56" s="47"/>
      <c r="I56" s="44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34"/>
      <c r="C57" s="35"/>
      <c r="D57" s="47"/>
      <c r="E57" s="47"/>
      <c r="F57" s="39"/>
      <c r="G57" s="44"/>
      <c r="H57" s="47"/>
      <c r="I57" s="44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34"/>
      <c r="C58" s="35"/>
      <c r="D58" s="47"/>
      <c r="E58" s="47"/>
      <c r="F58" s="39"/>
      <c r="G58" s="44"/>
      <c r="H58" s="47"/>
      <c r="I58" s="44"/>
      <c r="J58" s="43"/>
      <c r="K58" s="43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34"/>
      <c r="C59" s="35"/>
      <c r="D59" s="47"/>
      <c r="E59" s="47"/>
      <c r="F59" s="39"/>
      <c r="G59" s="44"/>
      <c r="H59" s="47"/>
      <c r="I59" s="44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34"/>
      <c r="C60" s="35"/>
      <c r="D60" s="47"/>
      <c r="E60" s="47"/>
      <c r="F60" s="39"/>
      <c r="G60" s="44"/>
      <c r="H60" s="47"/>
      <c r="I60" s="44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34"/>
      <c r="C61" s="35"/>
      <c r="D61" s="47"/>
      <c r="E61" s="47"/>
      <c r="F61" s="39"/>
      <c r="G61" s="44"/>
      <c r="H61" s="47"/>
      <c r="I61" s="44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34"/>
      <c r="C62" s="35"/>
      <c r="D62" s="47"/>
      <c r="E62" s="47"/>
      <c r="F62" s="39"/>
      <c r="G62" s="44"/>
      <c r="H62" s="47"/>
      <c r="I62" s="44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34"/>
      <c r="C63" s="35"/>
      <c r="D63" s="47"/>
      <c r="E63" s="47"/>
      <c r="F63" s="39"/>
      <c r="G63" s="44"/>
      <c r="H63" s="47"/>
      <c r="I63" s="44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34"/>
      <c r="C64" s="35"/>
      <c r="D64" s="47"/>
      <c r="E64" s="47"/>
      <c r="F64" s="39"/>
      <c r="G64" s="44"/>
      <c r="H64" s="47"/>
      <c r="I64" s="44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34"/>
      <c r="C65" s="35"/>
      <c r="D65" s="47"/>
      <c r="E65" s="47"/>
      <c r="F65" s="39"/>
      <c r="G65" s="44"/>
      <c r="H65" s="47"/>
      <c r="I65" s="44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34"/>
      <c r="C66" s="35"/>
      <c r="D66" s="47"/>
      <c r="E66" s="47"/>
      <c r="F66" s="39"/>
      <c r="G66" s="44"/>
      <c r="H66" s="47"/>
      <c r="I66" s="44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34"/>
      <c r="C67" s="35"/>
      <c r="D67" s="47"/>
      <c r="E67" s="47"/>
      <c r="F67" s="39"/>
      <c r="G67" s="44"/>
      <c r="H67" s="47"/>
      <c r="I67" s="44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34"/>
      <c r="C68" s="35"/>
      <c r="D68" s="47"/>
      <c r="E68" s="47"/>
      <c r="F68" s="39"/>
      <c r="G68" s="44"/>
      <c r="H68" s="47"/>
      <c r="I68" s="44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34"/>
      <c r="C69" s="35"/>
      <c r="D69" s="47"/>
      <c r="E69" s="47"/>
      <c r="F69" s="39"/>
      <c r="G69" s="44"/>
      <c r="H69" s="47"/>
      <c r="I69" s="44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34"/>
      <c r="C70" s="35"/>
      <c r="D70" s="47"/>
      <c r="E70" s="47"/>
      <c r="F70" s="39"/>
      <c r="G70" s="44"/>
      <c r="H70" s="47"/>
      <c r="I70" s="44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34"/>
      <c r="C71" s="35"/>
      <c r="D71" s="47"/>
      <c r="E71" s="47"/>
      <c r="F71" s="39"/>
      <c r="G71" s="44"/>
      <c r="H71" s="47"/>
      <c r="I71" s="44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34"/>
      <c r="C72" s="35"/>
      <c r="D72" s="47"/>
      <c r="E72" s="47"/>
      <c r="F72" s="39"/>
      <c r="G72" s="44"/>
      <c r="H72" s="47"/>
      <c r="I72" s="44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34"/>
      <c r="C73" s="35"/>
      <c r="D73" s="47"/>
      <c r="E73" s="47"/>
      <c r="F73" s="39"/>
      <c r="G73" s="44"/>
      <c r="H73" s="47"/>
      <c r="I73" s="44"/>
      <c r="J73" s="43"/>
      <c r="K73" s="43"/>
      <c r="L73" s="43"/>
      <c r="M73" s="4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34"/>
      <c r="C74" s="35"/>
      <c r="D74" s="47"/>
      <c r="E74" s="47"/>
      <c r="F74" s="39"/>
      <c r="G74" s="44"/>
      <c r="H74" s="47"/>
      <c r="I74" s="44"/>
      <c r="J74" s="43"/>
      <c r="K74" s="43"/>
      <c r="L74" s="43"/>
      <c r="M74" s="4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34"/>
      <c r="C75" s="35"/>
      <c r="D75" s="47"/>
      <c r="E75" s="47"/>
      <c r="F75" s="39"/>
      <c r="G75" s="44"/>
      <c r="H75" s="47"/>
      <c r="I75" s="44"/>
      <c r="J75" s="43"/>
      <c r="K75" s="43"/>
      <c r="L75" s="43"/>
      <c r="M75" s="43">
        <f t="shared" ref="M75:M76" si="1">(K75-J75)*E75</f>
        <v>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34"/>
      <c r="C76" s="35"/>
      <c r="D76" s="47"/>
      <c r="E76" s="47"/>
      <c r="F76" s="39"/>
      <c r="G76" s="44"/>
      <c r="H76" s="47"/>
      <c r="I76" s="44"/>
      <c r="J76" s="43"/>
      <c r="K76" s="43"/>
      <c r="L76" s="43"/>
      <c r="M76" s="43">
        <f t="shared" si="1"/>
        <v>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6" t="s">
        <v>38</v>
      </c>
      <c r="D78" s="57"/>
      <c r="E78" s="57"/>
      <c r="F78" s="57"/>
      <c r="G78" s="5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9"/>
      <c r="G79" s="60"/>
      <c r="H79" s="43">
        <v>0.0</v>
      </c>
      <c r="I79" s="61" t="s">
        <v>39</v>
      </c>
      <c r="J79" s="62"/>
      <c r="K79" s="62"/>
      <c r="L79" s="62"/>
      <c r="M79" s="6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64"/>
      <c r="D80" s="65"/>
      <c r="E80" s="65"/>
      <c r="F80" s="65"/>
      <c r="G80" s="6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5"/>
      <c r="C81" s="67" t="s">
        <v>40</v>
      </c>
      <c r="D81" s="62"/>
      <c r="E81" s="62"/>
      <c r="F81" s="62"/>
      <c r="G81" s="14"/>
      <c r="H81" s="68" t="str">
        <f>SUM(#REF!)</f>
        <v>#REF!</v>
      </c>
      <c r="I81" s="69" t="s">
        <v>41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5"/>
      <c r="B83" s="5"/>
      <c r="C83" s="67" t="s">
        <v>42</v>
      </c>
      <c r="D83" s="62"/>
      <c r="E83" s="62"/>
      <c r="F83" s="62"/>
      <c r="G83" s="63"/>
      <c r="H83" s="68" t="str">
        <f>H79+H81</f>
        <v>#REF!</v>
      </c>
      <c r="I83" s="69" t="s">
        <v>41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75" customHeight="1">
      <c r="A85" s="5"/>
      <c r="B85" s="5"/>
      <c r="C85" s="67" t="s">
        <v>43</v>
      </c>
      <c r="D85" s="62"/>
      <c r="E85" s="62"/>
      <c r="F85" s="62"/>
      <c r="G85" s="63"/>
      <c r="H85" s="68" t="str">
        <f>IF(H83&lt;=20000,H81,IF(H79&gt;20000,0,20000-H79))</f>
        <v>#REF!</v>
      </c>
      <c r="I85" s="69" t="s">
        <v>41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5"/>
      <c r="C87" s="67" t="s">
        <v>44</v>
      </c>
      <c r="D87" s="62"/>
      <c r="E87" s="62"/>
      <c r="F87" s="62"/>
      <c r="G87" s="14"/>
      <c r="H87" s="68" t="str">
        <f>IF(H83&gt;20000,H83-H79-H85,0)</f>
        <v>#REF!</v>
      </c>
      <c r="I87" s="69" t="s">
        <v>41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7.25" customHeight="1">
      <c r="A89" s="5"/>
      <c r="B89" s="5"/>
      <c r="C89" s="70" t="s">
        <v>45</v>
      </c>
      <c r="D89" s="71">
        <v>3.79</v>
      </c>
      <c r="E89" s="72" t="s">
        <v>46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32"/>
      <c r="D90" s="71">
        <v>2.23</v>
      </c>
      <c r="E90" s="72" t="s">
        <v>47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30.0" customHeight="1">
      <c r="A92" s="5"/>
      <c r="B92" s="5"/>
      <c r="C92" s="73" t="s">
        <v>48</v>
      </c>
      <c r="D92" s="62"/>
      <c r="E92" s="62"/>
      <c r="F92" s="14"/>
      <c r="G92" s="74" t="str">
        <f>(H85*D89)+(H87*D90)</f>
        <v>#REF!</v>
      </c>
      <c r="H92" s="12"/>
      <c r="I92" s="69" t="s">
        <v>41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75" t="s">
        <v>49</v>
      </c>
      <c r="D94" s="76"/>
      <c r="E94" s="77"/>
      <c r="F94" s="78"/>
      <c r="G94" s="76"/>
      <c r="H94" s="76"/>
      <c r="I94" s="7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79"/>
      <c r="D95" s="65"/>
      <c r="E95" s="80"/>
      <c r="F95" s="79"/>
      <c r="G95" s="65"/>
      <c r="H95" s="65"/>
      <c r="I95" s="80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3.25" customHeight="1">
      <c r="A96" s="5"/>
      <c r="B96" s="5"/>
      <c r="C96" s="81" t="s">
        <v>50</v>
      </c>
      <c r="D96" s="15"/>
      <c r="E96" s="12"/>
      <c r="F96" s="82"/>
      <c r="G96" s="15"/>
      <c r="H96" s="15"/>
      <c r="I96" s="12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0">
    <mergeCell ref="A5:D5"/>
    <mergeCell ref="B7:M7"/>
    <mergeCell ref="C9:D9"/>
    <mergeCell ref="H9:I9"/>
    <mergeCell ref="J9:M9"/>
    <mergeCell ref="C10:D10"/>
    <mergeCell ref="H10:I10"/>
    <mergeCell ref="J10:M10"/>
    <mergeCell ref="B14:M14"/>
    <mergeCell ref="B16:B17"/>
    <mergeCell ref="C16:C17"/>
    <mergeCell ref="D16:E16"/>
    <mergeCell ref="H16:I16"/>
    <mergeCell ref="J16:K16"/>
    <mergeCell ref="F16:G16"/>
    <mergeCell ref="C78:G80"/>
    <mergeCell ref="I79:M79"/>
    <mergeCell ref="C81:G81"/>
    <mergeCell ref="C83:G83"/>
    <mergeCell ref="C85:G85"/>
    <mergeCell ref="C87:G87"/>
    <mergeCell ref="C96:E96"/>
    <mergeCell ref="F96:I96"/>
    <mergeCell ref="C89:C90"/>
    <mergeCell ref="E89:I89"/>
    <mergeCell ref="E90:I90"/>
    <mergeCell ref="C92:F92"/>
    <mergeCell ref="G92:H92"/>
    <mergeCell ref="C94:E95"/>
    <mergeCell ref="F94:I95"/>
  </mergeCells>
  <dataValidations>
    <dataValidation type="decimal" allowBlank="1" showInputMessage="1" showErrorMessage="1" prompt="Ugyldigt tal - Tallet på kilometertælleren skal være mellem 0 and 999.999,9" sqref="J18:K26 J28:K28">
      <formula1>0.0</formula1>
      <formula2>999999.9</formula2>
    </dataValidation>
  </dataValidations>
  <hyperlinks>
    <hyperlink r:id="rId1" ref="A13"/>
  </hyperlinks>
  <printOptions/>
  <pageMargins bottom="0.75" footer="0.0" header="0.0" left="0.7" right="0.7" top="0.75"/>
  <pageSetup orientation="landscape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0.13"/>
    <col customWidth="1" min="3" max="3" width="62.25"/>
    <col customWidth="1" min="4" max="4" width="12.25"/>
    <col customWidth="1" min="5" max="5" width="12.38"/>
    <col customWidth="1" min="6" max="6" width="20.88"/>
    <col customWidth="1" min="7" max="7" width="11.25"/>
    <col customWidth="1" min="8" max="8" width="19.38"/>
    <col customWidth="1" min="9" max="9" width="11.63"/>
    <col customWidth="1" min="10" max="10" width="13.38"/>
    <col customWidth="1" min="11" max="11" width="14.13"/>
    <col customWidth="1" min="12" max="13" width="14.5"/>
    <col customWidth="1" min="14" max="14" width="19.5"/>
    <col customWidth="1" min="15" max="26" width="8.75"/>
  </cols>
  <sheetData>
    <row r="1" ht="12.75" customHeight="1">
      <c r="A1" s="5"/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8"/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9" t="s">
        <v>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8"/>
      <c r="B9" s="10" t="s">
        <v>4</v>
      </c>
      <c r="C9" s="88">
        <v>45778.0</v>
      </c>
      <c r="D9" s="12"/>
      <c r="E9" s="9"/>
      <c r="F9" s="9"/>
      <c r="G9" s="9"/>
      <c r="H9" s="13" t="s">
        <v>6</v>
      </c>
      <c r="I9" s="14"/>
      <c r="J9" s="11" t="s">
        <v>7</v>
      </c>
      <c r="K9" s="15"/>
      <c r="L9" s="15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8"/>
      <c r="B10" s="16" t="s">
        <v>8</v>
      </c>
      <c r="C10" s="101" t="s">
        <v>63</v>
      </c>
      <c r="D10" s="12"/>
      <c r="E10" s="9"/>
      <c r="F10" s="9"/>
      <c r="G10" s="9"/>
      <c r="H10" s="13" t="s">
        <v>10</v>
      </c>
      <c r="I10" s="14"/>
      <c r="J10" s="17" t="s">
        <v>11</v>
      </c>
      <c r="K10" s="18"/>
      <c r="L10" s="18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20" t="s">
        <v>12</v>
      </c>
      <c r="K11" s="21">
        <f>SUM(L18:L31)</f>
        <v>0</v>
      </c>
      <c r="L11" s="9"/>
      <c r="M11" s="9"/>
      <c r="N11" s="100" t="s">
        <v>85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8"/>
      <c r="B12" s="9"/>
      <c r="C12" s="9"/>
      <c r="D12" s="9"/>
      <c r="E12" s="9"/>
      <c r="F12" s="9"/>
      <c r="G12" s="9"/>
      <c r="H12" s="9"/>
      <c r="I12" s="9"/>
      <c r="J12" s="20" t="s">
        <v>13</v>
      </c>
      <c r="K12" s="89">
        <v>3.81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90" t="s">
        <v>53</v>
      </c>
      <c r="B13" s="8"/>
      <c r="C13" s="8"/>
      <c r="D13" s="8"/>
      <c r="E13" s="5"/>
      <c r="F13" s="5"/>
      <c r="G13" s="5"/>
      <c r="H13" s="5"/>
      <c r="I13" s="5"/>
      <c r="J13" s="20" t="s">
        <v>15</v>
      </c>
      <c r="K13" s="22">
        <f>SUM(K11*K12)</f>
        <v>0</v>
      </c>
      <c r="L13" s="10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24" t="s">
        <v>16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27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5.25" customHeight="1">
      <c r="A16" s="5"/>
      <c r="B16" s="29" t="s">
        <v>17</v>
      </c>
      <c r="C16" s="30" t="s">
        <v>18</v>
      </c>
      <c r="D16" s="31" t="s">
        <v>19</v>
      </c>
      <c r="E16" s="26"/>
      <c r="F16" s="31" t="s">
        <v>20</v>
      </c>
      <c r="G16" s="26"/>
      <c r="H16" s="31" t="s">
        <v>21</v>
      </c>
      <c r="I16" s="26"/>
      <c r="J16" s="31" t="s">
        <v>22</v>
      </c>
      <c r="K16" s="26"/>
      <c r="L16" s="104"/>
      <c r="M16" s="10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32"/>
      <c r="C17" s="32"/>
      <c r="D17" s="33" t="s">
        <v>24</v>
      </c>
      <c r="E17" s="33" t="s">
        <v>25</v>
      </c>
      <c r="F17" s="33" t="s">
        <v>26</v>
      </c>
      <c r="G17" s="33" t="s">
        <v>27</v>
      </c>
      <c r="H17" s="33" t="s">
        <v>26</v>
      </c>
      <c r="I17" s="33" t="s">
        <v>27</v>
      </c>
      <c r="J17" s="33" t="s">
        <v>28</v>
      </c>
      <c r="K17" s="33" t="s">
        <v>29</v>
      </c>
      <c r="L17" s="105" t="s">
        <v>24</v>
      </c>
      <c r="M17" s="33" t="s">
        <v>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5"/>
      <c r="B18" s="102"/>
      <c r="C18" s="125"/>
      <c r="D18" s="126"/>
      <c r="E18" s="127"/>
      <c r="G18" s="44"/>
      <c r="I18" s="108"/>
      <c r="J18" s="128"/>
      <c r="K18" s="129"/>
      <c r="L18" s="106"/>
      <c r="M18" s="130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5"/>
      <c r="B19" s="102"/>
      <c r="C19" s="93"/>
      <c r="D19" s="94"/>
      <c r="E19" s="47"/>
      <c r="G19" s="44"/>
      <c r="H19" s="95"/>
      <c r="I19" s="108"/>
      <c r="J19" s="96"/>
      <c r="K19" s="97"/>
      <c r="L19" s="106"/>
      <c r="M19" s="4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102"/>
      <c r="C20" s="93"/>
      <c r="D20" s="94"/>
      <c r="E20" s="47"/>
      <c r="G20" s="44"/>
      <c r="H20" s="95"/>
      <c r="I20" s="108"/>
      <c r="J20" s="96"/>
      <c r="K20" s="97"/>
      <c r="L20" s="106"/>
      <c r="M20" s="4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102"/>
      <c r="C21" s="93"/>
      <c r="D21" s="94"/>
      <c r="E21" s="47"/>
      <c r="G21" s="44"/>
      <c r="H21" s="95"/>
      <c r="I21" s="108"/>
      <c r="J21" s="96"/>
      <c r="K21" s="97"/>
      <c r="L21" s="106"/>
      <c r="M21" s="4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102"/>
      <c r="C22" s="93"/>
      <c r="D22" s="94"/>
      <c r="E22" s="47"/>
      <c r="G22" s="44"/>
      <c r="H22" s="95"/>
      <c r="I22" s="108"/>
      <c r="J22" s="96"/>
      <c r="K22" s="97"/>
      <c r="L22" s="106"/>
      <c r="M22" s="4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102"/>
      <c r="C23" s="93"/>
      <c r="D23" s="94"/>
      <c r="E23" s="47"/>
      <c r="G23" s="44"/>
      <c r="H23" s="95"/>
      <c r="I23" s="108"/>
      <c r="J23" s="96"/>
      <c r="K23" s="97"/>
      <c r="L23" s="106"/>
      <c r="M23" s="4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102"/>
      <c r="C24" s="93"/>
      <c r="D24" s="94"/>
      <c r="E24" s="47"/>
      <c r="G24" s="44"/>
      <c r="H24" s="95"/>
      <c r="I24" s="108"/>
      <c r="J24" s="96"/>
      <c r="K24" s="97"/>
      <c r="L24" s="106"/>
      <c r="M24" s="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102"/>
      <c r="C25" s="93"/>
      <c r="D25" s="94"/>
      <c r="E25" s="47"/>
      <c r="G25" s="44"/>
      <c r="H25" s="95"/>
      <c r="I25" s="108"/>
      <c r="J25" s="96"/>
      <c r="K25" s="97"/>
      <c r="L25" s="106"/>
      <c r="M25" s="4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102"/>
      <c r="C26" s="93"/>
      <c r="D26" s="94"/>
      <c r="E26" s="47"/>
      <c r="G26" s="44"/>
      <c r="H26" s="95"/>
      <c r="I26" s="108"/>
      <c r="J26" s="96"/>
      <c r="K26" s="96"/>
      <c r="L26" s="106"/>
      <c r="M26" s="4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34"/>
      <c r="C28" s="35"/>
      <c r="D28" s="36"/>
      <c r="E28" s="47"/>
      <c r="G28" s="44"/>
      <c r="H28" s="39"/>
      <c r="I28" s="44"/>
      <c r="J28" s="41"/>
      <c r="K28" s="42"/>
      <c r="L28" s="106"/>
      <c r="M28" s="4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34"/>
      <c r="C29" s="35"/>
      <c r="D29" s="47"/>
      <c r="E29" s="47"/>
      <c r="F29" s="39"/>
      <c r="G29" s="44"/>
      <c r="H29" s="47"/>
      <c r="I29" s="44"/>
      <c r="J29" s="43"/>
      <c r="K29" s="43"/>
      <c r="L29" s="43"/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34"/>
      <c r="C30" s="35"/>
      <c r="D30" s="47"/>
      <c r="E30" s="47"/>
      <c r="F30" s="39"/>
      <c r="G30" s="44"/>
      <c r="H30" s="47"/>
      <c r="I30" s="44"/>
      <c r="J30" s="43"/>
      <c r="K30" s="43"/>
      <c r="L30" s="43"/>
      <c r="M30" s="4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34"/>
      <c r="C31" s="35"/>
      <c r="D31" s="47"/>
      <c r="E31" s="47"/>
      <c r="F31" s="39"/>
      <c r="G31" s="44"/>
      <c r="H31" s="47"/>
      <c r="I31" s="44"/>
      <c r="J31" s="43"/>
      <c r="K31" s="43"/>
      <c r="L31" s="43"/>
      <c r="M31" s="4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34"/>
      <c r="C32" s="35"/>
      <c r="D32" s="47"/>
      <c r="E32" s="47"/>
      <c r="F32" s="39"/>
      <c r="G32" s="44"/>
      <c r="H32" s="47"/>
      <c r="I32" s="44"/>
      <c r="J32" s="43"/>
      <c r="K32" s="43"/>
      <c r="L32" s="43"/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34"/>
      <c r="C33" s="35"/>
      <c r="D33" s="47"/>
      <c r="E33" s="47"/>
      <c r="F33" s="39"/>
      <c r="G33" s="44"/>
      <c r="H33" s="47"/>
      <c r="I33" s="44"/>
      <c r="J33" s="43"/>
      <c r="K33" s="43"/>
      <c r="L33" s="43"/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34"/>
      <c r="C34" s="35"/>
      <c r="D34" s="47"/>
      <c r="E34" s="47"/>
      <c r="F34" s="39"/>
      <c r="G34" s="44"/>
      <c r="H34" s="47"/>
      <c r="I34" s="44"/>
      <c r="J34" s="43"/>
      <c r="K34" s="43"/>
      <c r="L34" s="43"/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34"/>
      <c r="C35" s="35"/>
      <c r="D35" s="47"/>
      <c r="E35" s="47"/>
      <c r="F35" s="39"/>
      <c r="G35" s="44"/>
      <c r="H35" s="47"/>
      <c r="I35" s="44"/>
      <c r="J35" s="43"/>
      <c r="K35" s="43"/>
      <c r="L35" s="43"/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34"/>
      <c r="C36" s="35"/>
      <c r="D36" s="47"/>
      <c r="E36" s="47"/>
      <c r="F36" s="39"/>
      <c r="G36" s="44"/>
      <c r="H36" s="47"/>
      <c r="I36" s="44"/>
      <c r="J36" s="43"/>
      <c r="K36" s="43"/>
      <c r="L36" s="43"/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34"/>
      <c r="C37" s="35"/>
      <c r="D37" s="47"/>
      <c r="E37" s="47"/>
      <c r="F37" s="39"/>
      <c r="G37" s="44"/>
      <c r="H37" s="47"/>
      <c r="I37" s="44"/>
      <c r="J37" s="43"/>
      <c r="K37" s="43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34"/>
      <c r="C38" s="35"/>
      <c r="D38" s="47"/>
      <c r="E38" s="47"/>
      <c r="F38" s="39"/>
      <c r="G38" s="44"/>
      <c r="H38" s="47"/>
      <c r="I38" s="44"/>
      <c r="J38" s="43"/>
      <c r="K38" s="43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34"/>
      <c r="C39" s="35"/>
      <c r="D39" s="47"/>
      <c r="E39" s="47"/>
      <c r="F39" s="39"/>
      <c r="G39" s="44"/>
      <c r="H39" s="47"/>
      <c r="I39" s="44"/>
      <c r="J39" s="43"/>
      <c r="K39" s="43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34"/>
      <c r="C40" s="35"/>
      <c r="D40" s="47"/>
      <c r="E40" s="47"/>
      <c r="F40" s="39"/>
      <c r="G40" s="44"/>
      <c r="H40" s="47"/>
      <c r="I40" s="44"/>
      <c r="J40" s="43"/>
      <c r="K40" s="43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34"/>
      <c r="C41" s="35"/>
      <c r="D41" s="47"/>
      <c r="E41" s="47"/>
      <c r="F41" s="39"/>
      <c r="G41" s="44"/>
      <c r="H41" s="47"/>
      <c r="I41" s="44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34"/>
      <c r="C42" s="35"/>
      <c r="D42" s="47"/>
      <c r="E42" s="47"/>
      <c r="F42" s="39"/>
      <c r="G42" s="44"/>
      <c r="H42" s="47"/>
      <c r="I42" s="44"/>
      <c r="J42" s="43"/>
      <c r="K42" s="43"/>
      <c r="L42" s="43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34"/>
      <c r="C43" s="35"/>
      <c r="D43" s="47"/>
      <c r="E43" s="47"/>
      <c r="F43" s="39"/>
      <c r="G43" s="44"/>
      <c r="H43" s="47"/>
      <c r="I43" s="44"/>
      <c r="J43" s="43"/>
      <c r="K43" s="43"/>
      <c r="L43" s="43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34"/>
      <c r="C44" s="35"/>
      <c r="D44" s="47"/>
      <c r="E44" s="47"/>
      <c r="F44" s="39"/>
      <c r="G44" s="44"/>
      <c r="H44" s="47"/>
      <c r="I44" s="44"/>
      <c r="J44" s="43"/>
      <c r="K44" s="43"/>
      <c r="L44" s="43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34"/>
      <c r="C45" s="53"/>
      <c r="D45" s="54"/>
      <c r="E45" s="54"/>
      <c r="F45" s="39"/>
      <c r="G45" s="44"/>
      <c r="H45" s="54"/>
      <c r="I45" s="44"/>
      <c r="J45" s="55"/>
      <c r="K45" s="55"/>
      <c r="L45" s="107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34"/>
      <c r="C46" s="35"/>
      <c r="D46" s="47"/>
      <c r="E46" s="47"/>
      <c r="F46" s="39"/>
      <c r="G46" s="44"/>
      <c r="H46" s="47"/>
      <c r="I46" s="44"/>
      <c r="J46" s="43"/>
      <c r="K46" s="43"/>
      <c r="L46" s="43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34"/>
      <c r="C47" s="35"/>
      <c r="D47" s="47"/>
      <c r="E47" s="47"/>
      <c r="F47" s="39"/>
      <c r="G47" s="44"/>
      <c r="H47" s="47"/>
      <c r="I47" s="44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34"/>
      <c r="C48" s="35"/>
      <c r="D48" s="47"/>
      <c r="E48" s="47"/>
      <c r="F48" s="39"/>
      <c r="G48" s="44"/>
      <c r="H48" s="47"/>
      <c r="I48" s="44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34"/>
      <c r="C49" s="35"/>
      <c r="D49" s="47"/>
      <c r="E49" s="47"/>
      <c r="F49" s="39"/>
      <c r="G49" s="44"/>
      <c r="H49" s="47"/>
      <c r="I49" s="44"/>
      <c r="J49" s="43"/>
      <c r="K49" s="43"/>
      <c r="L49" s="43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34"/>
      <c r="C50" s="35"/>
      <c r="D50" s="47"/>
      <c r="E50" s="47"/>
      <c r="F50" s="39"/>
      <c r="G50" s="44"/>
      <c r="H50" s="47"/>
      <c r="I50" s="44"/>
      <c r="J50" s="43"/>
      <c r="K50" s="43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34"/>
      <c r="C51" s="35"/>
      <c r="D51" s="47"/>
      <c r="E51" s="47"/>
      <c r="F51" s="39"/>
      <c r="G51" s="44"/>
      <c r="H51" s="47"/>
      <c r="I51" s="44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34"/>
      <c r="C52" s="35"/>
      <c r="D52" s="47"/>
      <c r="E52" s="47"/>
      <c r="F52" s="39"/>
      <c r="G52" s="44"/>
      <c r="H52" s="47"/>
      <c r="I52" s="44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34"/>
      <c r="C53" s="35"/>
      <c r="D53" s="47"/>
      <c r="E53" s="47"/>
      <c r="F53" s="39"/>
      <c r="G53" s="44"/>
      <c r="H53" s="47"/>
      <c r="I53" s="44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34"/>
      <c r="C54" s="35"/>
      <c r="D54" s="47"/>
      <c r="E54" s="47"/>
      <c r="F54" s="39"/>
      <c r="G54" s="44"/>
      <c r="H54" s="47"/>
      <c r="I54" s="44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34"/>
      <c r="C55" s="35"/>
      <c r="D55" s="47"/>
      <c r="E55" s="47"/>
      <c r="F55" s="39"/>
      <c r="G55" s="44"/>
      <c r="H55" s="47"/>
      <c r="I55" s="44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34"/>
      <c r="C56" s="35"/>
      <c r="D56" s="47"/>
      <c r="E56" s="47"/>
      <c r="F56" s="39"/>
      <c r="G56" s="44"/>
      <c r="H56" s="47"/>
      <c r="I56" s="44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34"/>
      <c r="C57" s="35"/>
      <c r="D57" s="47"/>
      <c r="E57" s="47"/>
      <c r="F57" s="39"/>
      <c r="G57" s="44"/>
      <c r="H57" s="47"/>
      <c r="I57" s="44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34"/>
      <c r="C58" s="35"/>
      <c r="D58" s="47"/>
      <c r="E58" s="47"/>
      <c r="F58" s="39"/>
      <c r="G58" s="44"/>
      <c r="H58" s="47"/>
      <c r="I58" s="44"/>
      <c r="J58" s="43"/>
      <c r="K58" s="43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34"/>
      <c r="C59" s="35"/>
      <c r="D59" s="47"/>
      <c r="E59" s="47"/>
      <c r="F59" s="39"/>
      <c r="G59" s="44"/>
      <c r="H59" s="47"/>
      <c r="I59" s="44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34"/>
      <c r="C60" s="35"/>
      <c r="D60" s="47"/>
      <c r="E60" s="47"/>
      <c r="F60" s="39"/>
      <c r="G60" s="44"/>
      <c r="H60" s="47"/>
      <c r="I60" s="44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34"/>
      <c r="C61" s="35"/>
      <c r="D61" s="47"/>
      <c r="E61" s="47"/>
      <c r="F61" s="39"/>
      <c r="G61" s="44"/>
      <c r="H61" s="47"/>
      <c r="I61" s="44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34"/>
      <c r="C62" s="35"/>
      <c r="D62" s="47"/>
      <c r="E62" s="47"/>
      <c r="F62" s="39"/>
      <c r="G62" s="44"/>
      <c r="H62" s="47"/>
      <c r="I62" s="44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34"/>
      <c r="C63" s="35"/>
      <c r="D63" s="47"/>
      <c r="E63" s="47"/>
      <c r="F63" s="39"/>
      <c r="G63" s="44"/>
      <c r="H63" s="47"/>
      <c r="I63" s="44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34"/>
      <c r="C64" s="35"/>
      <c r="D64" s="47"/>
      <c r="E64" s="47"/>
      <c r="F64" s="39"/>
      <c r="G64" s="44"/>
      <c r="H64" s="47"/>
      <c r="I64" s="44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34"/>
      <c r="C65" s="35"/>
      <c r="D65" s="47"/>
      <c r="E65" s="47"/>
      <c r="F65" s="39"/>
      <c r="G65" s="44"/>
      <c r="H65" s="47"/>
      <c r="I65" s="44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34"/>
      <c r="C66" s="35"/>
      <c r="D66" s="47"/>
      <c r="E66" s="47"/>
      <c r="F66" s="39"/>
      <c r="G66" s="44"/>
      <c r="H66" s="47"/>
      <c r="I66" s="44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34"/>
      <c r="C67" s="35"/>
      <c r="D67" s="47"/>
      <c r="E67" s="47"/>
      <c r="F67" s="39"/>
      <c r="G67" s="44"/>
      <c r="H67" s="47"/>
      <c r="I67" s="44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34"/>
      <c r="C68" s="35"/>
      <c r="D68" s="47"/>
      <c r="E68" s="47"/>
      <c r="F68" s="39"/>
      <c r="G68" s="44"/>
      <c r="H68" s="47"/>
      <c r="I68" s="44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34"/>
      <c r="C69" s="35"/>
      <c r="D69" s="47"/>
      <c r="E69" s="47"/>
      <c r="F69" s="39"/>
      <c r="G69" s="44"/>
      <c r="H69" s="47"/>
      <c r="I69" s="44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34"/>
      <c r="C70" s="35"/>
      <c r="D70" s="47"/>
      <c r="E70" s="47"/>
      <c r="F70" s="39"/>
      <c r="G70" s="44"/>
      <c r="H70" s="47"/>
      <c r="I70" s="44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34"/>
      <c r="C71" s="35"/>
      <c r="D71" s="47"/>
      <c r="E71" s="47"/>
      <c r="F71" s="39"/>
      <c r="G71" s="44"/>
      <c r="H71" s="47"/>
      <c r="I71" s="44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34"/>
      <c r="C72" s="35"/>
      <c r="D72" s="47"/>
      <c r="E72" s="47"/>
      <c r="F72" s="39"/>
      <c r="G72" s="44"/>
      <c r="H72" s="47"/>
      <c r="I72" s="44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34"/>
      <c r="C73" s="35"/>
      <c r="D73" s="47"/>
      <c r="E73" s="47"/>
      <c r="F73" s="39"/>
      <c r="G73" s="44"/>
      <c r="H73" s="47"/>
      <c r="I73" s="44"/>
      <c r="J73" s="43"/>
      <c r="K73" s="43"/>
      <c r="L73" s="43"/>
      <c r="M73" s="4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34"/>
      <c r="C74" s="35"/>
      <c r="D74" s="47"/>
      <c r="E74" s="47"/>
      <c r="F74" s="39"/>
      <c r="G74" s="44"/>
      <c r="H74" s="47"/>
      <c r="I74" s="44"/>
      <c r="J74" s="43"/>
      <c r="K74" s="43"/>
      <c r="L74" s="43"/>
      <c r="M74" s="4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34"/>
      <c r="C75" s="35"/>
      <c r="D75" s="47"/>
      <c r="E75" s="47"/>
      <c r="F75" s="39"/>
      <c r="G75" s="44"/>
      <c r="H75" s="47"/>
      <c r="I75" s="44"/>
      <c r="J75" s="43"/>
      <c r="K75" s="43"/>
      <c r="L75" s="43"/>
      <c r="M75" s="43">
        <f t="shared" ref="M75:M76" si="1">(K75-J75)*E75</f>
        <v>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34"/>
      <c r="C76" s="35"/>
      <c r="D76" s="47"/>
      <c r="E76" s="47"/>
      <c r="F76" s="39"/>
      <c r="G76" s="44"/>
      <c r="H76" s="47"/>
      <c r="I76" s="44"/>
      <c r="J76" s="43"/>
      <c r="K76" s="43"/>
      <c r="L76" s="43"/>
      <c r="M76" s="43">
        <f t="shared" si="1"/>
        <v>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6" t="s">
        <v>38</v>
      </c>
      <c r="D78" s="57"/>
      <c r="E78" s="57"/>
      <c r="F78" s="57"/>
      <c r="G78" s="5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9"/>
      <c r="G79" s="60"/>
      <c r="H79" s="43">
        <v>0.0</v>
      </c>
      <c r="I79" s="61" t="s">
        <v>39</v>
      </c>
      <c r="J79" s="62"/>
      <c r="K79" s="62"/>
      <c r="L79" s="62"/>
      <c r="M79" s="6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64"/>
      <c r="D80" s="65"/>
      <c r="E80" s="65"/>
      <c r="F80" s="65"/>
      <c r="G80" s="6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5"/>
      <c r="C81" s="67" t="s">
        <v>40</v>
      </c>
      <c r="D81" s="62"/>
      <c r="E81" s="62"/>
      <c r="F81" s="62"/>
      <c r="G81" s="14"/>
      <c r="H81" s="68" t="str">
        <f>SUM(#REF!)</f>
        <v>#REF!</v>
      </c>
      <c r="I81" s="69" t="s">
        <v>41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5"/>
      <c r="B83" s="5"/>
      <c r="C83" s="67" t="s">
        <v>42</v>
      </c>
      <c r="D83" s="62"/>
      <c r="E83" s="62"/>
      <c r="F83" s="62"/>
      <c r="G83" s="63"/>
      <c r="H83" s="68" t="str">
        <f>H79+H81</f>
        <v>#REF!</v>
      </c>
      <c r="I83" s="69" t="s">
        <v>41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75" customHeight="1">
      <c r="A85" s="5"/>
      <c r="B85" s="5"/>
      <c r="C85" s="67" t="s">
        <v>43</v>
      </c>
      <c r="D85" s="62"/>
      <c r="E85" s="62"/>
      <c r="F85" s="62"/>
      <c r="G85" s="63"/>
      <c r="H85" s="68" t="str">
        <f>IF(H83&lt;=20000,H81,IF(H79&gt;20000,0,20000-H79))</f>
        <v>#REF!</v>
      </c>
      <c r="I85" s="69" t="s">
        <v>41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5"/>
      <c r="C87" s="67" t="s">
        <v>44</v>
      </c>
      <c r="D87" s="62"/>
      <c r="E87" s="62"/>
      <c r="F87" s="62"/>
      <c r="G87" s="14"/>
      <c r="H87" s="68" t="str">
        <f>IF(H83&gt;20000,H83-H79-H85,0)</f>
        <v>#REF!</v>
      </c>
      <c r="I87" s="69" t="s">
        <v>41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7.25" customHeight="1">
      <c r="A89" s="5"/>
      <c r="B89" s="5"/>
      <c r="C89" s="70" t="s">
        <v>45</v>
      </c>
      <c r="D89" s="71">
        <v>3.79</v>
      </c>
      <c r="E89" s="72" t="s">
        <v>46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32"/>
      <c r="D90" s="71">
        <v>2.23</v>
      </c>
      <c r="E90" s="72" t="s">
        <v>47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30.0" customHeight="1">
      <c r="A92" s="5"/>
      <c r="B92" s="5"/>
      <c r="C92" s="73" t="s">
        <v>48</v>
      </c>
      <c r="D92" s="62"/>
      <c r="E92" s="62"/>
      <c r="F92" s="14"/>
      <c r="G92" s="74" t="str">
        <f>(H85*D89)+(H87*D90)</f>
        <v>#REF!</v>
      </c>
      <c r="H92" s="12"/>
      <c r="I92" s="69" t="s">
        <v>41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75" t="s">
        <v>49</v>
      </c>
      <c r="D94" s="76"/>
      <c r="E94" s="77"/>
      <c r="F94" s="78"/>
      <c r="G94" s="76"/>
      <c r="H94" s="76"/>
      <c r="I94" s="7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79"/>
      <c r="D95" s="65"/>
      <c r="E95" s="80"/>
      <c r="F95" s="79"/>
      <c r="G95" s="65"/>
      <c r="H95" s="65"/>
      <c r="I95" s="80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3.25" customHeight="1">
      <c r="A96" s="5"/>
      <c r="B96" s="5"/>
      <c r="C96" s="81" t="s">
        <v>50</v>
      </c>
      <c r="D96" s="15"/>
      <c r="E96" s="12"/>
      <c r="F96" s="82"/>
      <c r="G96" s="15"/>
      <c r="H96" s="15"/>
      <c r="I96" s="12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0">
    <mergeCell ref="A5:D5"/>
    <mergeCell ref="B7:M7"/>
    <mergeCell ref="C9:D9"/>
    <mergeCell ref="H9:I9"/>
    <mergeCell ref="J9:M9"/>
    <mergeCell ref="C10:D10"/>
    <mergeCell ref="H10:I10"/>
    <mergeCell ref="J10:M10"/>
    <mergeCell ref="B14:M14"/>
    <mergeCell ref="B16:B17"/>
    <mergeCell ref="C16:C17"/>
    <mergeCell ref="D16:E16"/>
    <mergeCell ref="H16:I16"/>
    <mergeCell ref="J16:K16"/>
    <mergeCell ref="F16:G16"/>
    <mergeCell ref="C78:G80"/>
    <mergeCell ref="I79:M79"/>
    <mergeCell ref="C81:G81"/>
    <mergeCell ref="C83:G83"/>
    <mergeCell ref="C85:G85"/>
    <mergeCell ref="C87:G87"/>
    <mergeCell ref="C96:E96"/>
    <mergeCell ref="F96:I96"/>
    <mergeCell ref="C89:C90"/>
    <mergeCell ref="E89:I89"/>
    <mergeCell ref="E90:I90"/>
    <mergeCell ref="C92:F92"/>
    <mergeCell ref="G92:H92"/>
    <mergeCell ref="C94:E95"/>
    <mergeCell ref="F94:I95"/>
  </mergeCells>
  <dataValidations>
    <dataValidation type="decimal" allowBlank="1" showInputMessage="1" showErrorMessage="1" prompt="Ugyldigt tal - Tallet på kilometertælleren skal være mellem 0 and 999.999,9" sqref="J18:K26 J28:K28">
      <formula1>0.0</formula1>
      <formula2>999999.9</formula2>
    </dataValidation>
  </dataValidations>
  <hyperlinks>
    <hyperlink r:id="rId1" ref="A13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2020-07-29T09:11:40Z</dcterms:created>
  <dc:creator>Arnarsson</dc:creator>
</cp:coreProperties>
</file>